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440" windowHeight="9735" tabRatio="632"/>
  </bookViews>
  <sheets>
    <sheet name="SISTEMA INS." sheetId="1" r:id="rId1"/>
    <sheet name="LISTA ALUMNOS" sheetId="3" r:id="rId2"/>
    <sheet name="Grp. 1" sheetId="4" r:id="rId3"/>
    <sheet name="Grp. 2" sheetId="6" r:id="rId4"/>
    <sheet name="Grp. 3" sheetId="7" r:id="rId5"/>
    <sheet name="Grp. 4" sheetId="8" r:id="rId6"/>
    <sheet name="Grp. 5" sheetId="9" r:id="rId7"/>
    <sheet name="Grp. 6" sheetId="10" r:id="rId8"/>
    <sheet name="cal" sheetId="16" state="hidden" r:id="rId9"/>
  </sheets>
  <definedNames>
    <definedName name="_xlnm.Print_Area" localSheetId="2">'Grp. 1'!$A$1:$F$28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4" l="1"/>
  <c r="C11" i="8" l="1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10" i="8"/>
  <c r="C7" i="10" l="1"/>
  <c r="C7" i="9"/>
  <c r="C7" i="8"/>
  <c r="C7" i="7"/>
  <c r="C7" i="6"/>
  <c r="C7" i="4"/>
  <c r="B8" i="16" l="1"/>
  <c r="H5" i="16" l="1"/>
  <c r="G5" i="16"/>
  <c r="F5" i="16"/>
  <c r="E5" i="16"/>
  <c r="D5" i="16"/>
  <c r="C5" i="16"/>
  <c r="B10" i="16"/>
  <c r="B5" i="16"/>
  <c r="J5" i="16" l="1"/>
  <c r="B6" i="16" l="1"/>
  <c r="H9" i="1" s="1"/>
  <c r="G6" i="16"/>
  <c r="R9" i="1" s="1"/>
  <c r="E6" i="16"/>
  <c r="N9" i="1" s="1"/>
  <c r="D6" i="16"/>
  <c r="L9" i="1" s="1"/>
  <c r="E8" i="16"/>
  <c r="F6" i="16"/>
  <c r="P9" i="1" s="1"/>
  <c r="H6" i="16"/>
  <c r="C6" i="16"/>
  <c r="J9" i="1" s="1"/>
</calcChain>
</file>

<file path=xl/sharedStrings.xml><?xml version="1.0" encoding="utf-8"?>
<sst xmlns="http://schemas.openxmlformats.org/spreadsheetml/2006/main" count="613" uniqueCount="196">
  <si>
    <t>ABASTO FLORES NILDO</t>
  </si>
  <si>
    <t>ALAVE VELIS HENRRY</t>
  </si>
  <si>
    <t>FERNANDEZ CHOQUE BRANDON RENE</t>
  </si>
  <si>
    <t>FIGUEROA MAMANI JOSE LUIS</t>
  </si>
  <si>
    <t>OLMOS IÑIGUEZ RUDY ALBERTO</t>
  </si>
  <si>
    <t>RODRIGUEZ COLQUE JOSE MICHAEL</t>
  </si>
  <si>
    <t>VIDAL GUTIERREZ ARIEL</t>
  </si>
  <si>
    <t>APAZ ARANCIBIA OSCAR FERNANDO</t>
  </si>
  <si>
    <t>FLORES AGUILAR PATRICIA HELEN</t>
  </si>
  <si>
    <t>NINA CADIMA JOEL</t>
  </si>
  <si>
    <t>QUINTEROS MANCILLA FIDEL LUCIANO</t>
  </si>
  <si>
    <t>RODRIGUEZ OZUNA SAMIR ALEJANDRO</t>
  </si>
  <si>
    <t>ROJAS TASTACA IVONNE</t>
  </si>
  <si>
    <t>TORRICO VELASCO EYTOR MARCELO</t>
  </si>
  <si>
    <t>CODIGO SIS</t>
  </si>
  <si>
    <t>NOMBRE</t>
  </si>
  <si>
    <t>C.I.</t>
  </si>
  <si>
    <t>CARRERA</t>
  </si>
  <si>
    <t>Nº</t>
  </si>
  <si>
    <t>COD. SIS</t>
  </si>
  <si>
    <t>GRUPO:</t>
  </si>
  <si>
    <t>NOMBRE DOCENTE:</t>
  </si>
  <si>
    <t>HORARIO</t>
  </si>
  <si>
    <t>Grupo 1</t>
  </si>
  <si>
    <t>Grupo 2</t>
  </si>
  <si>
    <t>Grupo 3</t>
  </si>
  <si>
    <t>Grupo 4</t>
  </si>
  <si>
    <t>Grupo 5</t>
  </si>
  <si>
    <t>Grupo 7</t>
  </si>
  <si>
    <t>ELC</t>
  </si>
  <si>
    <t>GRUPO LLENO</t>
  </si>
  <si>
    <t>GRUPO VACIO</t>
  </si>
  <si>
    <t>FACULTAD DE CIENCIAS Y TECNOLOGIA</t>
  </si>
  <si>
    <t>UNIVERSIDAD MAYOR DE SAN SIMON</t>
  </si>
  <si>
    <t>DEPARTAMENTO DE ELECTRICIDAD</t>
  </si>
  <si>
    <t>S.I.L.E.E  v.1.0</t>
  </si>
  <si>
    <t>ELT</t>
  </si>
  <si>
    <t>NUMERO DE INSCRITOS</t>
  </si>
  <si>
    <t>Ing. Jose Espinoza Orosco</t>
  </si>
  <si>
    <t>Ing. Yuri Perez Peredo</t>
  </si>
  <si>
    <t>CLAROS NAVA ALVARO BRAYAN</t>
  </si>
  <si>
    <t>CUTER CONDORI DANIEL TITO</t>
  </si>
  <si>
    <t>GARCIA EULATE OMAR GONZALO</t>
  </si>
  <si>
    <t>MONTAÑO GONZALES ISMAEL MARCELO</t>
  </si>
  <si>
    <t>QUIROGA VILLAGOMEZ KEVIN CARLOS</t>
  </si>
  <si>
    <t>TORREZ LOZANO DEYMAR ADRIAN</t>
  </si>
  <si>
    <t>SISTEMA DE INSCRIPCION A LABORATORIOS                                                              CIRCUITOS ELECTRICOS II</t>
  </si>
  <si>
    <t>AGUILA ALVAREZ ERICK MARCELO</t>
  </si>
  <si>
    <t>AGUILAR CUCHALLO CRISTHIAN</t>
  </si>
  <si>
    <t>ALBARRACIN OLIVERA RICARDO ANDRES</t>
  </si>
  <si>
    <t>ALBORTA CABALLERO CARLOS</t>
  </si>
  <si>
    <t>ALEGRE NOGALES SAUL</t>
  </si>
  <si>
    <t>ANDIA REVOLLO ELIO ANTONIO</t>
  </si>
  <si>
    <t>ANTONIO GOMEZ ENRIQUE</t>
  </si>
  <si>
    <t>ARAMAYO MEJIA ALFREDO</t>
  </si>
  <si>
    <t>AREBALO SALBATIERRA JUAN CARLOS</t>
  </si>
  <si>
    <t>AREBALO VARGAS MARIA JULIA</t>
  </si>
  <si>
    <t>ARIAS PACHECO BRUNO MATEO</t>
  </si>
  <si>
    <t>ARUQUIPA CONDORI LUIS ALBERTO</t>
  </si>
  <si>
    <t>AYALA MARIN EDWIN ANTONIO</t>
  </si>
  <si>
    <t>AYZACAYO VIRACOCHEA CINTHIA</t>
  </si>
  <si>
    <t>BALDI MONTANER FELIPE ANDRES</t>
  </si>
  <si>
    <t>BASCOPE RIOS ENRIQUE</t>
  </si>
  <si>
    <t>BRAÑEZ CHAMBI PATRICIA SILVIA</t>
  </si>
  <si>
    <t>CACERES SILVESTRE AYDE KARINA</t>
  </si>
  <si>
    <t>CADIMA QUENTASI ALEJANDRO EDUARDO</t>
  </si>
  <si>
    <t>CADIMA RUBEN DARIO</t>
  </si>
  <si>
    <t>CALI AQUINO EDSON</t>
  </si>
  <si>
    <t>CAMACHO LOZA ALEJANDRO</t>
  </si>
  <si>
    <t>CASTRO GUZMAN RODRIGO</t>
  </si>
  <si>
    <t>CATALAN MUÑOZ SERGIO</t>
  </si>
  <si>
    <t>CAYO ROSAS SCARLEY JIMENA</t>
  </si>
  <si>
    <t>CENTELLAS VILLARROEL ANDREA</t>
  </si>
  <si>
    <t>CHAIRA LIA REYNALDO ROBERTO</t>
  </si>
  <si>
    <t>CHANEZ HUALLATA DENIS JHERSON</t>
  </si>
  <si>
    <t>CLAROS MOREIRA JUAN DAVID</t>
  </si>
  <si>
    <t>CLAROS TERAN ANTONY HORACIO</t>
  </si>
  <si>
    <t>COLQUE ARAMAYO PAMELA LISETH</t>
  </si>
  <si>
    <t>COLQUE MAGNE RICARDO GONZALO</t>
  </si>
  <si>
    <t>COLQUE MAMANI LUCAS GAMALIEL</t>
  </si>
  <si>
    <t>CONDORI PINEDO SHIRLEY INES</t>
  </si>
  <si>
    <t>COPA LIZARAZU ARTURO</t>
  </si>
  <si>
    <t>CORDOBA COPATITI GROVER</t>
  </si>
  <si>
    <t>COSTAS FERNANDEZ LUIS OSVALDO</t>
  </si>
  <si>
    <t>CRUZ ROMERO ALFREDO</t>
  </si>
  <si>
    <t>CUIZARA MADRIAGA RODRIGO</t>
  </si>
  <si>
    <t>DURAN MENESES SEBASTIÁN EDUARDO</t>
  </si>
  <si>
    <t>ESCALERA VALENZUELA ALEXIS ENRIQUE</t>
  </si>
  <si>
    <t>ESCOBAR LUJAN JUAN MAICOL</t>
  </si>
  <si>
    <t>ESTRADA SUAREZ ALEXIS YAMHIL</t>
  </si>
  <si>
    <t>FERNANDEZ AQUINO ALEJANDRO</t>
  </si>
  <si>
    <t>FLORES ANTONIO MIGUEL ANGEL</t>
  </si>
  <si>
    <t>FLORES CONDORI WENDY</t>
  </si>
  <si>
    <t>FLORES RIVERA BISMAR</t>
  </si>
  <si>
    <t>FUENTES FLORES HAROLD WILFREDO</t>
  </si>
  <si>
    <t>GARCIA CANEDO YERKO IVAN</t>
  </si>
  <si>
    <t>GARCIA ROCHA ELVIS WILMER</t>
  </si>
  <si>
    <t>GONZALES MAMANI JOSE ANTONIO</t>
  </si>
  <si>
    <t>GRANDA RICO SANTIAGO GABRIEL</t>
  </si>
  <si>
    <t>GUEVARA GONZALES BORIS</t>
  </si>
  <si>
    <t>GUEVARA MERCADO JOSE</t>
  </si>
  <si>
    <t>GUILLEN PEREZ JHON DEYVIS</t>
  </si>
  <si>
    <t>GUZMAN CAMACHO GUADALUPE</t>
  </si>
  <si>
    <t>HERRERA VASQUEZ ELIAS GABINO</t>
  </si>
  <si>
    <t>LAFUENTE FERNANDEZ ALEJANDRO MISAEL</t>
  </si>
  <si>
    <t>LARICO SANIZO ALEX RODRIGO</t>
  </si>
  <si>
    <t>LARICO SANIZO JHONY</t>
  </si>
  <si>
    <t>LEDEZMA MOYA KARINA</t>
  </si>
  <si>
    <t>LIMA SILVESTRE JUAN PABLO</t>
  </si>
  <si>
    <t>LOPEZ ALCOCER EDWAR</t>
  </si>
  <si>
    <t>LOZA MITA FREDDY ALEJANDRO</t>
  </si>
  <si>
    <t>LUNA ALVAREZ SAMUEL BRANDON</t>
  </si>
  <si>
    <t>MALDONADO CARBALLO CESAR</t>
  </si>
  <si>
    <t>MALDONADO JIMENEZ LUIS EDUARDO</t>
  </si>
  <si>
    <t>MAMANI FLORES GROVER</t>
  </si>
  <si>
    <t>MAMANI ROJAS ROLANDO</t>
  </si>
  <si>
    <t>MANUEL MOTIÑO AMILCAR MILTON</t>
  </si>
  <si>
    <t>MARCA GUZMAN MIGUEL ANGEL</t>
  </si>
  <si>
    <t>MARCOS CALIZAYA OSCAR</t>
  </si>
  <si>
    <t>MARQUEZ HURTADO ROMMEL HERNAN</t>
  </si>
  <si>
    <t>MARTINEZ ESPINOZA SANTIAGO CAMILO</t>
  </si>
  <si>
    <t>MATIAS ARI MILTON</t>
  </si>
  <si>
    <t>MEDRANO CHOQUE ANGHELO PAOLO</t>
  </si>
  <si>
    <t>MEDRANO ROCABADO BRANDON DANIEL</t>
  </si>
  <si>
    <t>MEJIA RIVERA JONHAS VALDIR</t>
  </si>
  <si>
    <t>MEJIA TORDOYA ALVARO</t>
  </si>
  <si>
    <t>MENA COLQUE GARY SEBASTIAN</t>
  </si>
  <si>
    <t>MENECES LAZARTE ELMER</t>
  </si>
  <si>
    <t>MENECES SERRANO VLADIMIR</t>
  </si>
  <si>
    <t>MENESES COLQUE KEVIN ALVARO</t>
  </si>
  <si>
    <t>MONTAÑO MARISCAL BRYAN DIDSON</t>
  </si>
  <si>
    <t>MONTAÑO ROJAS JHONNY</t>
  </si>
  <si>
    <t>MONTAÑO VARGAS JOSIAS SAMUEL</t>
  </si>
  <si>
    <t>MORALES LEDEZMA MIGUEL GONZALO</t>
  </si>
  <si>
    <t>OJEDA ZEBALLOS EDSON FREDY</t>
  </si>
  <si>
    <t>OLAGUIVEL SANTILLAN ERIC</t>
  </si>
  <si>
    <t>OROPEZA GUTIERREZ BISMAR</t>
  </si>
  <si>
    <t>OSORIO MICHEL JUAN EMILIO</t>
  </si>
  <si>
    <t>PARRA VILLARROEL ADOLFO</t>
  </si>
  <si>
    <t>PEREDO MAMANI ALEXANDER</t>
  </si>
  <si>
    <t>PINTO RIOS ANTONIO</t>
  </si>
  <si>
    <t>PINTO SENZANO CRISTIAN</t>
  </si>
  <si>
    <t>PORTILLO FORO EBERT HONSI</t>
  </si>
  <si>
    <t>QUIÑONES ARROYO BEIMAR</t>
  </si>
  <si>
    <t>QUISPE NICOLAS HILARION</t>
  </si>
  <si>
    <t>REQUE SAAVEDRA WILLY</t>
  </si>
  <si>
    <t>RIVERA CHAVEZ JHOSMAR</t>
  </si>
  <si>
    <t>ROBLES CHOQUE SERVANDO</t>
  </si>
  <si>
    <t>ROCHA BAZAN JOEL MAURICIO</t>
  </si>
  <si>
    <t>RODRIGUEZ AGUILAR ALEXANDER NAEL</t>
  </si>
  <si>
    <t>RODRIGUEZ MAZZI ALVARO</t>
  </si>
  <si>
    <t>RODRIGUEZ MONTECINOS MILENA</t>
  </si>
  <si>
    <t>ROJAS BALDERRAMA GONZALO</t>
  </si>
  <si>
    <t>ROJAS QUINTEROS ISAIAS DAVID</t>
  </si>
  <si>
    <t>ROJAS ZARRAGA RODRIGO JESUS</t>
  </si>
  <si>
    <t>ROMERO PADILLA NOEL ALEJANDRO</t>
  </si>
  <si>
    <t>ROSALES NUÑEZ BEYMAR</t>
  </si>
  <si>
    <t>SALAZAR BUTRON PAULO JOSMELL</t>
  </si>
  <si>
    <t>SALGADO CLAROS ADRIAN SANDRO</t>
  </si>
  <si>
    <t>SALINAS ARNEZ MASSIEL VANESA</t>
  </si>
  <si>
    <t>SANABRIA LIENDRO RICARDO BRUNO</t>
  </si>
  <si>
    <t>SANCHEZ VERA EDWIN GONZALO</t>
  </si>
  <si>
    <t>SARMIENTO COSSIO PAUL BRYAN</t>
  </si>
  <si>
    <t>SAUCEDO ARAMAYO ANDRES-JHONATAN</t>
  </si>
  <si>
    <t>SEJAS LUIS RONALD</t>
  </si>
  <si>
    <t>SOLIS MEJIA EVERT</t>
  </si>
  <si>
    <t>TERAN MORALES CHARLES MICHELL</t>
  </si>
  <si>
    <t>TERRAZAS TEJERINA ALEXANDER JAMES</t>
  </si>
  <si>
    <t>TICONA VASQUEZ JOSE CARLOS</t>
  </si>
  <si>
    <t>TORREZ SOLIZ MAURICIO</t>
  </si>
  <si>
    <t>VARGAS LOPEZ BENITO</t>
  </si>
  <si>
    <t>VARGAS VILLEGAS JORGE JONATAN</t>
  </si>
  <si>
    <t>VASQUEZ CHAVEZ DANIEL</t>
  </si>
  <si>
    <t>VEIZAGA SANCHEZ CLEBERT</t>
  </si>
  <si>
    <t>VERA VARGAS ANDREA VIRGINIA</t>
  </si>
  <si>
    <t>VERDUGUEZ ZURITA CRISTHIAN BERNARDO</t>
  </si>
  <si>
    <t>ZAMBRANA NOGALES GUSTAVO</t>
  </si>
  <si>
    <t>ZAMBRANA RAMOS OMAR ROBERTO</t>
  </si>
  <si>
    <t>ZAPATA MONTAÑO RODRIGO</t>
  </si>
  <si>
    <t>ZEBALLOS VALDEZ JOSE TOMAS</t>
  </si>
  <si>
    <t>ZUNA HUALLATA EDDY ALBERTO</t>
  </si>
  <si>
    <t>LISTA ESTUDIANTES LAB. CIRCUITOS II</t>
  </si>
  <si>
    <t>LUNES 06:45 - 08:15</t>
  </si>
  <si>
    <t>LUNES 15:45 - 17:15</t>
  </si>
  <si>
    <t>MIERCOLES 15:45 - 17:15</t>
  </si>
  <si>
    <t>VIERNES  17:15 - 18:45</t>
  </si>
  <si>
    <t xml:space="preserve">MIERCOLES 14:15 - 15:45 </t>
  </si>
  <si>
    <t>Ing. Alex Bustillos Vargas</t>
  </si>
  <si>
    <t>VIERNES 11:15 - 12:45</t>
  </si>
  <si>
    <t>EMC</t>
  </si>
  <si>
    <t>ARUQUIPA VARGAS HERNÁN YUNIOR</t>
  </si>
  <si>
    <t>ORTEGA TERRAZAS DANIEL</t>
  </si>
  <si>
    <t>PECHO VALLEJOS GUNNAR LUDWING</t>
  </si>
  <si>
    <t>THOKOKARY JALDIN MARCELO OMAR</t>
  </si>
  <si>
    <t>asl</t>
  </si>
  <si>
    <t>electr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</si>
</sst>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4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7.5"/>
      <color theme="1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4" borderId="0" applyNumberFormat="0" applyBorder="0" applyAlignment="0" applyProtection="0"/>
  </cellStyleXfs>
  <cellXfs count="48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0" fillId="7" borderId="0" xfId="0" applyFill="1"/>
    <xf numFmtId="0" fontId="0" fillId="7" borderId="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3" fillId="7" borderId="0" xfId="0" applyFont="1" applyFill="1"/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3" fillId="6" borderId="5" xfId="0" applyFont="1" applyFill="1" applyBorder="1" applyAlignment="1">
      <alignment vertical="center"/>
    </xf>
    <xf numFmtId="0" fontId="4" fillId="7" borderId="0" xfId="0" applyFont="1" applyFill="1"/>
    <xf numFmtId="0" fontId="0" fillId="4" borderId="0" xfId="0" applyFill="1"/>
    <xf numFmtId="0" fontId="0" fillId="3" borderId="0" xfId="0" applyFill="1"/>
    <xf numFmtId="0" fontId="7" fillId="7" borderId="0" xfId="0" applyFont="1" applyFill="1"/>
    <xf numFmtId="0" fontId="9" fillId="7" borderId="0" xfId="0" applyFont="1" applyFill="1"/>
    <xf numFmtId="0" fontId="5" fillId="6" borderId="4" xfId="0" applyFont="1" applyFill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0" fillId="7" borderId="0" xfId="0" applyFill="1" applyBorder="1"/>
    <xf numFmtId="0" fontId="10" fillId="7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0" borderId="0" xfId="0" applyFont="1" applyAlignment="1">
      <alignment horizontal="left"/>
    </xf>
    <xf numFmtId="0" fontId="12" fillId="0" borderId="0" xfId="0" applyFont="1" applyAlignment="1"/>
    <xf numFmtId="0" fontId="12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</cellXfs>
  <cellStyles count="2">
    <cellStyle name="Bueno" xfId="1" builtinId="26" customBuiltin="1"/>
    <cellStyle name="Normal" xfId="0" builtinId="0"/>
  </cellStyles>
  <dxfs count="24"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752475</xdr:colOff>
      <xdr:row>8</xdr:row>
      <xdr:rowOff>0</xdr:rowOff>
    </xdr:from>
    <xdr:to>
      <xdr:col>18</xdr:col>
      <xdr:colOff>0</xdr:colOff>
      <xdr:row>9</xdr:row>
      <xdr:rowOff>9525</xdr:rowOff>
    </xdr:to>
    <xdr:sp macro="[0]!GRUPO6" textlink="">
      <xdr:nvSpPr>
        <xdr:cNvPr id="19" name="Rectángulo 18"/>
        <xdr:cNvSpPr/>
      </xdr:nvSpPr>
      <xdr:spPr>
        <a:xfrm>
          <a:off x="6191250" y="22479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14</xdr:col>
      <xdr:colOff>47625</xdr:colOff>
      <xdr:row>8</xdr:row>
      <xdr:rowOff>0</xdr:rowOff>
    </xdr:from>
    <xdr:to>
      <xdr:col>16</xdr:col>
      <xdr:colOff>0</xdr:colOff>
      <xdr:row>9</xdr:row>
      <xdr:rowOff>9525</xdr:rowOff>
    </xdr:to>
    <xdr:sp macro="[0]!GRUPO5" textlink="">
      <xdr:nvSpPr>
        <xdr:cNvPr id="20" name="Rectángulo 19"/>
        <xdr:cNvSpPr/>
      </xdr:nvSpPr>
      <xdr:spPr>
        <a:xfrm>
          <a:off x="94678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47625</xdr:colOff>
      <xdr:row>8</xdr:row>
      <xdr:rowOff>0</xdr:rowOff>
    </xdr:from>
    <xdr:to>
      <xdr:col>12</xdr:col>
      <xdr:colOff>0</xdr:colOff>
      <xdr:row>9</xdr:row>
      <xdr:rowOff>9525</xdr:rowOff>
    </xdr:to>
    <xdr:sp macro="[0]!GRUPO3" textlink="">
      <xdr:nvSpPr>
        <xdr:cNvPr id="21" name="Rectángulo 20"/>
        <xdr:cNvSpPr/>
      </xdr:nvSpPr>
      <xdr:spPr>
        <a:xfrm>
          <a:off x="78295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47625</xdr:colOff>
      <xdr:row>8</xdr:row>
      <xdr:rowOff>0</xdr:rowOff>
    </xdr:from>
    <xdr:to>
      <xdr:col>14</xdr:col>
      <xdr:colOff>0</xdr:colOff>
      <xdr:row>9</xdr:row>
      <xdr:rowOff>9525</xdr:rowOff>
    </xdr:to>
    <xdr:sp macro="[0]!GRUPO4" textlink="">
      <xdr:nvSpPr>
        <xdr:cNvPr id="22" name="Rectángulo 21"/>
        <xdr:cNvSpPr/>
      </xdr:nvSpPr>
      <xdr:spPr>
        <a:xfrm>
          <a:off x="864870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752475</xdr:colOff>
      <xdr:row>8</xdr:row>
      <xdr:rowOff>0</xdr:rowOff>
    </xdr:from>
    <xdr:to>
      <xdr:col>8</xdr:col>
      <xdr:colOff>0</xdr:colOff>
      <xdr:row>9</xdr:row>
      <xdr:rowOff>9525</xdr:rowOff>
    </xdr:to>
    <xdr:sp macro="[0]!GRUPO1" textlink="">
      <xdr:nvSpPr>
        <xdr:cNvPr id="23" name="Rectángulo 22"/>
        <xdr:cNvSpPr/>
      </xdr:nvSpPr>
      <xdr:spPr>
        <a:xfrm>
          <a:off x="61912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47625</xdr:colOff>
      <xdr:row>8</xdr:row>
      <xdr:rowOff>0</xdr:rowOff>
    </xdr:from>
    <xdr:to>
      <xdr:col>10</xdr:col>
      <xdr:colOff>0</xdr:colOff>
      <xdr:row>9</xdr:row>
      <xdr:rowOff>9525</xdr:rowOff>
    </xdr:to>
    <xdr:sp macro="[0]!GRUPO2" textlink="">
      <xdr:nvSpPr>
        <xdr:cNvPr id="24" name="Rectángulo 23"/>
        <xdr:cNvSpPr/>
      </xdr:nvSpPr>
      <xdr:spPr>
        <a:xfrm>
          <a:off x="701040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0</xdr:col>
      <xdr:colOff>704850</xdr:colOff>
      <xdr:row>1</xdr:row>
      <xdr:rowOff>171450</xdr:rowOff>
    </xdr:from>
    <xdr:to>
      <xdr:col>1</xdr:col>
      <xdr:colOff>591745</xdr:colOff>
      <xdr:row>5</xdr:row>
      <xdr:rowOff>161925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361950"/>
          <a:ext cx="648895" cy="9620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18</xdr:col>
      <xdr:colOff>209550</xdr:colOff>
      <xdr:row>2</xdr:row>
      <xdr:rowOff>9526</xdr:rowOff>
    </xdr:from>
    <xdr:to>
      <xdr:col>19</xdr:col>
      <xdr:colOff>306679</xdr:colOff>
      <xdr:row>5</xdr:row>
      <xdr:rowOff>76200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0075" y="390526"/>
          <a:ext cx="859129" cy="84772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B3:U26"/>
  <sheetViews>
    <sheetView tabSelected="1" workbookViewId="0">
      <selection activeCell="F9" sqref="F9"/>
    </sheetView>
  </sheetViews>
  <sheetFormatPr baseColWidth="10" defaultRowHeight="15" x14ac:dyDescent="0.25"/>
  <cols>
    <col min="1" max="3" width="11.42578125" style="10"/>
    <col min="4" max="4" width="16.7109375" style="10" customWidth="1"/>
    <col min="5" max="5" width="2.140625" style="10" customWidth="1"/>
    <col min="6" max="6" width="39.85546875" style="10" customWidth="1"/>
    <col min="7" max="8" width="11.42578125" style="10"/>
    <col min="9" max="9" width="0.85546875" style="10" customWidth="1"/>
    <col min="10" max="10" width="11.42578125" style="10"/>
    <col min="11" max="11" width="0.85546875" style="10" customWidth="1"/>
    <col min="12" max="12" width="11.42578125" style="10"/>
    <col min="13" max="13" width="0.85546875" style="10" customWidth="1"/>
    <col min="14" max="14" width="11.42578125" style="10"/>
    <col min="15" max="15" width="0.85546875" style="10" customWidth="1"/>
    <col min="16" max="16" width="11.42578125" style="10"/>
    <col min="17" max="17" width="0.85546875" style="10" customWidth="1"/>
    <col min="18" max="16384" width="11.42578125" style="10"/>
  </cols>
  <sheetData>
    <row r="3" spans="3:19" ht="15" customHeight="1" x14ac:dyDescent="0.25">
      <c r="C3" s="43" t="s">
        <v>46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3:19" ht="15" customHeight="1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3:19" ht="31.5" customHeight="1" x14ac:dyDescent="0.25"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</row>
    <row r="8" spans="3:19" ht="16.5" thickBot="1" x14ac:dyDescent="0.3">
      <c r="H8" s="17" t="s">
        <v>23</v>
      </c>
      <c r="I8" s="18"/>
      <c r="J8" s="17" t="s">
        <v>24</v>
      </c>
      <c r="K8" s="18"/>
      <c r="L8" s="17" t="s">
        <v>25</v>
      </c>
      <c r="M8" s="18"/>
      <c r="N8" s="17" t="s">
        <v>26</v>
      </c>
      <c r="O8" s="18"/>
      <c r="P8" s="17" t="s">
        <v>27</v>
      </c>
      <c r="R8" s="19" t="s">
        <v>28</v>
      </c>
    </row>
    <row r="9" spans="3:19" ht="22.5" customHeight="1" thickTop="1" thickBot="1" x14ac:dyDescent="0.3">
      <c r="D9" s="26" t="s">
        <v>14</v>
      </c>
      <c r="F9" s="34">
        <v>0</v>
      </c>
      <c r="H9" s="11">
        <f>+cal!B6</f>
        <v>0</v>
      </c>
      <c r="I9" s="12"/>
      <c r="J9" s="11">
        <f>+cal!C6</f>
        <v>0</v>
      </c>
      <c r="K9" s="12"/>
      <c r="L9" s="11">
        <f>+cal!D6</f>
        <v>0</v>
      </c>
      <c r="M9" s="12"/>
      <c r="N9" s="11">
        <f>+cal!E6</f>
        <v>1</v>
      </c>
      <c r="O9" s="12"/>
      <c r="P9" s="11">
        <f>+cal!F6</f>
        <v>0</v>
      </c>
      <c r="R9" s="11">
        <f>+cal!G6</f>
        <v>0</v>
      </c>
    </row>
    <row r="10" spans="3:19" ht="13.5" customHeight="1" thickTop="1" thickBot="1" x14ac:dyDescent="0.35">
      <c r="D10" s="13"/>
      <c r="F10" s="14"/>
      <c r="H10" s="12"/>
      <c r="I10" s="12"/>
      <c r="J10" s="12"/>
      <c r="K10" s="12"/>
      <c r="L10" s="12"/>
      <c r="M10" s="12"/>
      <c r="N10" s="12"/>
      <c r="O10" s="12"/>
      <c r="P10" s="12"/>
    </row>
    <row r="11" spans="3:19" ht="22.5" customHeight="1" thickBot="1" x14ac:dyDescent="0.3">
      <c r="D11" s="20" t="s">
        <v>15</v>
      </c>
      <c r="F11" s="16" t="s">
        <v>194</v>
      </c>
    </row>
    <row r="12" spans="3:19" ht="13.5" customHeight="1" x14ac:dyDescent="0.3">
      <c r="D12" s="13"/>
      <c r="F12" s="14"/>
      <c r="H12" s="17"/>
      <c r="I12" s="18"/>
      <c r="J12" s="17"/>
      <c r="K12" s="18"/>
      <c r="L12" s="17"/>
      <c r="M12" s="18"/>
      <c r="N12" s="17"/>
      <c r="O12" s="18"/>
      <c r="P12" s="17"/>
      <c r="R12" s="17"/>
    </row>
    <row r="13" spans="3:19" ht="22.5" customHeight="1" thickBot="1" x14ac:dyDescent="0.3">
      <c r="D13" s="9" t="s">
        <v>16</v>
      </c>
      <c r="F13" s="16"/>
      <c r="H13" s="12"/>
      <c r="I13" s="12"/>
      <c r="K13" s="12"/>
      <c r="M13" s="12"/>
      <c r="N13" s="12"/>
      <c r="O13" s="15"/>
      <c r="P13" s="12"/>
      <c r="Q13" s="28"/>
      <c r="R13" s="28"/>
      <c r="S13" s="28"/>
    </row>
    <row r="14" spans="3:19" ht="13.5" customHeight="1" thickTop="1" x14ac:dyDescent="0.3">
      <c r="D14" s="13"/>
    </row>
    <row r="15" spans="3:19" ht="23.25" customHeight="1" thickBot="1" x14ac:dyDescent="0.3">
      <c r="D15" s="9" t="s">
        <v>17</v>
      </c>
      <c r="F15" s="16" t="s">
        <v>195</v>
      </c>
      <c r="L15" s="29"/>
    </row>
    <row r="16" spans="3:19" ht="13.5" customHeight="1" thickTop="1" x14ac:dyDescent="0.25"/>
    <row r="17" spans="2:21" ht="15.75" x14ac:dyDescent="0.25">
      <c r="H17" s="22"/>
      <c r="J17" s="24" t="s">
        <v>31</v>
      </c>
    </row>
    <row r="18" spans="2:21" ht="7.5" customHeight="1" x14ac:dyDescent="0.25"/>
    <row r="19" spans="2:21" ht="15.75" x14ac:dyDescent="0.25">
      <c r="H19" s="23"/>
      <c r="J19" s="24" t="s">
        <v>30</v>
      </c>
    </row>
    <row r="24" spans="2:21" x14ac:dyDescent="0.25">
      <c r="S24" s="25" t="s">
        <v>34</v>
      </c>
      <c r="T24" s="25"/>
      <c r="U24" s="25"/>
    </row>
    <row r="25" spans="2:21" x14ac:dyDescent="0.25">
      <c r="S25" s="25" t="s">
        <v>32</v>
      </c>
      <c r="T25" s="25"/>
      <c r="U25" s="25"/>
    </row>
    <row r="26" spans="2:21" x14ac:dyDescent="0.25">
      <c r="B26" s="21" t="s">
        <v>35</v>
      </c>
      <c r="S26" s="25" t="s">
        <v>33</v>
      </c>
      <c r="T26" s="25"/>
      <c r="U26" s="25"/>
    </row>
  </sheetData>
  <mergeCells count="1">
    <mergeCell ref="C3:R5"/>
  </mergeCells>
  <conditionalFormatting sqref="H9">
    <cfRule type="cellIs" dxfId="23" priority="43" operator="equal">
      <formula>1</formula>
    </cfRule>
    <cfRule type="cellIs" dxfId="22" priority="44" operator="equal">
      <formula>0</formula>
    </cfRule>
    <cfRule type="cellIs" dxfId="21" priority="65" operator="equal">
      <formula>0</formula>
    </cfRule>
    <cfRule type="cellIs" dxfId="20" priority="66" operator="equal">
      <formula>1</formula>
    </cfRule>
  </conditionalFormatting>
  <conditionalFormatting sqref="J9">
    <cfRule type="cellIs" dxfId="19" priority="39" operator="equal">
      <formula>1</formula>
    </cfRule>
    <cfRule type="cellIs" dxfId="18" priority="40" operator="equal">
      <formula>0</formula>
    </cfRule>
    <cfRule type="cellIs" dxfId="17" priority="41" operator="equal">
      <formula>0</formula>
    </cfRule>
    <cfRule type="cellIs" dxfId="16" priority="42" operator="equal">
      <formula>1</formula>
    </cfRule>
  </conditionalFormatting>
  <conditionalFormatting sqref="L9">
    <cfRule type="cellIs" dxfId="15" priority="35" operator="equal">
      <formula>1</formula>
    </cfRule>
    <cfRule type="cellIs" dxfId="14" priority="36" operator="equal">
      <formula>0</formula>
    </cfRule>
    <cfRule type="cellIs" dxfId="13" priority="37" operator="equal">
      <formula>0</formula>
    </cfRule>
    <cfRule type="cellIs" dxfId="12" priority="38" operator="equal">
      <formula>1</formula>
    </cfRule>
  </conditionalFormatting>
  <conditionalFormatting sqref="N9">
    <cfRule type="cellIs" dxfId="11" priority="31" operator="equal">
      <formula>1</formula>
    </cfRule>
    <cfRule type="cellIs" dxfId="10" priority="32" operator="equal">
      <formula>0</formula>
    </cfRule>
    <cfRule type="cellIs" dxfId="9" priority="33" operator="equal">
      <formula>0</formula>
    </cfRule>
    <cfRule type="cellIs" dxfId="8" priority="34" operator="equal">
      <formula>1</formula>
    </cfRule>
  </conditionalFormatting>
  <conditionalFormatting sqref="P9">
    <cfRule type="cellIs" dxfId="7" priority="27" operator="equal">
      <formula>1</formula>
    </cfRule>
    <cfRule type="cellIs" dxfId="6" priority="28" operator="equal">
      <formula>0</formula>
    </cfRule>
    <cfRule type="cellIs" dxfId="5" priority="29" operator="equal">
      <formula>0</formula>
    </cfRule>
    <cfRule type="cellIs" dxfId="4" priority="30" operator="equal">
      <formula>1</formula>
    </cfRule>
  </conditionalFormatting>
  <conditionalFormatting sqref="R9">
    <cfRule type="cellIs" dxfId="3" priority="23" operator="equal">
      <formula>1</formula>
    </cfRule>
    <cfRule type="cellIs" dxfId="2" priority="24" operator="equal">
      <formula>0</formula>
    </cfRule>
    <cfRule type="cellIs" dxfId="1" priority="25" operator="equal">
      <formula>0</formula>
    </cfRule>
    <cfRule type="cellIs" dxfId="0" priority="26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D165"/>
  <sheetViews>
    <sheetView topLeftCell="A134" workbookViewId="0">
      <selection activeCell="B143" sqref="B143"/>
    </sheetView>
  </sheetViews>
  <sheetFormatPr baseColWidth="10" defaultRowHeight="15" x14ac:dyDescent="0.25"/>
  <cols>
    <col min="2" max="2" width="14.7109375" style="3" customWidth="1"/>
    <col min="3" max="3" width="37.85546875" customWidth="1"/>
    <col min="4" max="4" width="11.42578125" style="3"/>
  </cols>
  <sheetData>
    <row r="3" spans="2:4" x14ac:dyDescent="0.25">
      <c r="B3" s="41">
        <v>201208143</v>
      </c>
      <c r="C3" s="42" t="s">
        <v>0</v>
      </c>
      <c r="D3" s="41" t="s">
        <v>29</v>
      </c>
    </row>
    <row r="4" spans="2:4" x14ac:dyDescent="0.25">
      <c r="B4" s="41">
        <v>201603519</v>
      </c>
      <c r="C4" s="42" t="s">
        <v>47</v>
      </c>
      <c r="D4" s="41" t="s">
        <v>29</v>
      </c>
    </row>
    <row r="5" spans="2:4" x14ac:dyDescent="0.25">
      <c r="B5" s="41">
        <v>201603520</v>
      </c>
      <c r="C5" s="42" t="s">
        <v>48</v>
      </c>
      <c r="D5" s="41" t="s">
        <v>29</v>
      </c>
    </row>
    <row r="6" spans="2:4" x14ac:dyDescent="0.25">
      <c r="B6" s="41">
        <v>201001274</v>
      </c>
      <c r="C6" s="42" t="s">
        <v>1</v>
      </c>
      <c r="D6" s="41" t="s">
        <v>29</v>
      </c>
    </row>
    <row r="7" spans="2:4" x14ac:dyDescent="0.25">
      <c r="B7" s="41">
        <v>201409419</v>
      </c>
      <c r="C7" s="42" t="s">
        <v>49</v>
      </c>
      <c r="D7" s="41" t="s">
        <v>189</v>
      </c>
    </row>
    <row r="8" spans="2:4" x14ac:dyDescent="0.25">
      <c r="B8" s="41">
        <v>201508451</v>
      </c>
      <c r="C8" s="42" t="s">
        <v>50</v>
      </c>
      <c r="D8" s="41" t="s">
        <v>189</v>
      </c>
    </row>
    <row r="9" spans="2:4" x14ac:dyDescent="0.25">
      <c r="B9" s="41">
        <v>201512207</v>
      </c>
      <c r="C9" s="42" t="s">
        <v>51</v>
      </c>
      <c r="D9" s="41" t="s">
        <v>29</v>
      </c>
    </row>
    <row r="10" spans="2:4" x14ac:dyDescent="0.25">
      <c r="B10" s="41">
        <v>201101073</v>
      </c>
      <c r="C10" s="42" t="s">
        <v>52</v>
      </c>
      <c r="D10" s="41" t="s">
        <v>189</v>
      </c>
    </row>
    <row r="11" spans="2:4" x14ac:dyDescent="0.25">
      <c r="B11" s="41">
        <v>201604601</v>
      </c>
      <c r="C11" s="42" t="s">
        <v>53</v>
      </c>
      <c r="D11" s="41" t="s">
        <v>189</v>
      </c>
    </row>
    <row r="12" spans="2:4" x14ac:dyDescent="0.25">
      <c r="B12" s="41">
        <v>201201153</v>
      </c>
      <c r="C12" s="42" t="s">
        <v>7</v>
      </c>
      <c r="D12" s="41" t="s">
        <v>189</v>
      </c>
    </row>
    <row r="13" spans="2:4" x14ac:dyDescent="0.25">
      <c r="B13" s="41">
        <v>200708877</v>
      </c>
      <c r="C13" s="42" t="s">
        <v>54</v>
      </c>
      <c r="D13" s="41" t="s">
        <v>29</v>
      </c>
    </row>
    <row r="14" spans="2:4" x14ac:dyDescent="0.25">
      <c r="B14" s="41">
        <v>201005145</v>
      </c>
      <c r="C14" s="42" t="s">
        <v>55</v>
      </c>
      <c r="D14" s="41" t="s">
        <v>189</v>
      </c>
    </row>
    <row r="15" spans="2:4" x14ac:dyDescent="0.25">
      <c r="B15" s="41">
        <v>201309820</v>
      </c>
      <c r="C15" s="42" t="s">
        <v>57</v>
      </c>
      <c r="D15" s="41" t="s">
        <v>189</v>
      </c>
    </row>
    <row r="16" spans="2:4" x14ac:dyDescent="0.25">
      <c r="B16" s="41">
        <v>201209054</v>
      </c>
      <c r="C16" s="42" t="s">
        <v>58</v>
      </c>
      <c r="D16" s="41" t="s">
        <v>29</v>
      </c>
    </row>
    <row r="17" spans="2:4" x14ac:dyDescent="0.25">
      <c r="B17" s="41">
        <v>201101593</v>
      </c>
      <c r="C17" s="42" t="s">
        <v>190</v>
      </c>
      <c r="D17" s="41" t="s">
        <v>189</v>
      </c>
    </row>
    <row r="18" spans="2:4" x14ac:dyDescent="0.25">
      <c r="B18" s="41">
        <v>201300074</v>
      </c>
      <c r="C18" s="42" t="s">
        <v>59</v>
      </c>
      <c r="D18" s="41" t="s">
        <v>29</v>
      </c>
    </row>
    <row r="19" spans="2:4" x14ac:dyDescent="0.25">
      <c r="B19" s="41">
        <v>201604604</v>
      </c>
      <c r="C19" s="42" t="s">
        <v>60</v>
      </c>
      <c r="D19" s="41" t="s">
        <v>189</v>
      </c>
    </row>
    <row r="20" spans="2:4" x14ac:dyDescent="0.25">
      <c r="B20" s="41">
        <v>201410653</v>
      </c>
      <c r="C20" s="42" t="s">
        <v>61</v>
      </c>
      <c r="D20" s="41" t="s">
        <v>29</v>
      </c>
    </row>
    <row r="21" spans="2:4" x14ac:dyDescent="0.25">
      <c r="B21" s="41">
        <v>201210327</v>
      </c>
      <c r="C21" s="42" t="s">
        <v>62</v>
      </c>
      <c r="D21" s="41" t="s">
        <v>29</v>
      </c>
    </row>
    <row r="22" spans="2:4" x14ac:dyDescent="0.25">
      <c r="B22" s="41">
        <v>201512224</v>
      </c>
      <c r="C22" s="42" t="s">
        <v>63</v>
      </c>
      <c r="D22" s="41" t="s">
        <v>29</v>
      </c>
    </row>
    <row r="23" spans="2:4" x14ac:dyDescent="0.25">
      <c r="B23" s="41">
        <v>201502316</v>
      </c>
      <c r="C23" s="42" t="s">
        <v>64</v>
      </c>
      <c r="D23" s="41" t="s">
        <v>189</v>
      </c>
    </row>
    <row r="24" spans="2:4" x14ac:dyDescent="0.25">
      <c r="B24" s="41">
        <v>201604646</v>
      </c>
      <c r="C24" s="42" t="s">
        <v>65</v>
      </c>
      <c r="D24" s="41" t="s">
        <v>29</v>
      </c>
    </row>
    <row r="25" spans="2:4" x14ac:dyDescent="0.25">
      <c r="B25" s="41">
        <v>201512209</v>
      </c>
      <c r="C25" s="42" t="s">
        <v>66</v>
      </c>
      <c r="D25" s="41" t="s">
        <v>29</v>
      </c>
    </row>
    <row r="26" spans="2:4" x14ac:dyDescent="0.25">
      <c r="B26" s="41">
        <v>201502008</v>
      </c>
      <c r="C26" s="42" t="s">
        <v>67</v>
      </c>
      <c r="D26" s="41" t="s">
        <v>29</v>
      </c>
    </row>
    <row r="27" spans="2:4" x14ac:dyDescent="0.25">
      <c r="B27" s="41">
        <v>201309751</v>
      </c>
      <c r="C27" s="42" t="s">
        <v>68</v>
      </c>
      <c r="D27" s="41" t="s">
        <v>29</v>
      </c>
    </row>
    <row r="28" spans="2:4" x14ac:dyDescent="0.25">
      <c r="B28" s="41">
        <v>201401049</v>
      </c>
      <c r="C28" s="42" t="s">
        <v>69</v>
      </c>
      <c r="D28" s="41" t="s">
        <v>189</v>
      </c>
    </row>
    <row r="29" spans="2:4" x14ac:dyDescent="0.25">
      <c r="B29" s="41">
        <v>201301093</v>
      </c>
      <c r="C29" s="42" t="s">
        <v>70</v>
      </c>
      <c r="D29" s="41" t="s">
        <v>189</v>
      </c>
    </row>
    <row r="30" spans="2:4" x14ac:dyDescent="0.25">
      <c r="B30" s="41">
        <v>200608152</v>
      </c>
      <c r="C30" s="42" t="s">
        <v>71</v>
      </c>
      <c r="D30" s="41" t="s">
        <v>189</v>
      </c>
    </row>
    <row r="31" spans="2:4" x14ac:dyDescent="0.25">
      <c r="B31" s="41">
        <v>201606369</v>
      </c>
      <c r="C31" s="42" t="s">
        <v>72</v>
      </c>
      <c r="D31" s="41" t="s">
        <v>189</v>
      </c>
    </row>
    <row r="32" spans="2:4" x14ac:dyDescent="0.25">
      <c r="B32" s="41">
        <v>201505573</v>
      </c>
      <c r="C32" s="42" t="s">
        <v>73</v>
      </c>
      <c r="D32" s="41" t="s">
        <v>29</v>
      </c>
    </row>
    <row r="33" spans="2:4" x14ac:dyDescent="0.25">
      <c r="B33" s="41">
        <v>201001343</v>
      </c>
      <c r="C33" s="42" t="s">
        <v>74</v>
      </c>
      <c r="D33" s="41" t="s">
        <v>29</v>
      </c>
    </row>
    <row r="34" spans="2:4" x14ac:dyDescent="0.25">
      <c r="B34" s="41">
        <v>200105453</v>
      </c>
      <c r="C34" s="42" t="s">
        <v>75</v>
      </c>
      <c r="D34" s="41" t="s">
        <v>189</v>
      </c>
    </row>
    <row r="35" spans="2:4" x14ac:dyDescent="0.25">
      <c r="B35" s="41">
        <v>201209063</v>
      </c>
      <c r="C35" s="42" t="s">
        <v>40</v>
      </c>
      <c r="D35" s="41" t="s">
        <v>29</v>
      </c>
    </row>
    <row r="36" spans="2:4" x14ac:dyDescent="0.25">
      <c r="B36" s="41">
        <v>201604589</v>
      </c>
      <c r="C36" s="42" t="s">
        <v>76</v>
      </c>
      <c r="D36" s="41" t="s">
        <v>189</v>
      </c>
    </row>
    <row r="37" spans="2:4" x14ac:dyDescent="0.25">
      <c r="B37" s="41">
        <v>201504856</v>
      </c>
      <c r="C37" s="42" t="s">
        <v>77</v>
      </c>
      <c r="D37" s="41" t="s">
        <v>29</v>
      </c>
    </row>
    <row r="38" spans="2:4" x14ac:dyDescent="0.25">
      <c r="B38" s="41">
        <v>201512556</v>
      </c>
      <c r="C38" s="42" t="s">
        <v>78</v>
      </c>
      <c r="D38" s="41" t="s">
        <v>189</v>
      </c>
    </row>
    <row r="39" spans="2:4" x14ac:dyDescent="0.25">
      <c r="B39" s="41">
        <v>201512548</v>
      </c>
      <c r="C39" s="42" t="s">
        <v>79</v>
      </c>
      <c r="D39" s="41" t="s">
        <v>189</v>
      </c>
    </row>
    <row r="40" spans="2:4" x14ac:dyDescent="0.25">
      <c r="B40" s="41">
        <v>201508108</v>
      </c>
      <c r="C40" s="42" t="s">
        <v>80</v>
      </c>
      <c r="D40" s="41" t="s">
        <v>29</v>
      </c>
    </row>
    <row r="41" spans="2:4" x14ac:dyDescent="0.25">
      <c r="B41" s="41">
        <v>201101389</v>
      </c>
      <c r="C41" s="42" t="s">
        <v>81</v>
      </c>
      <c r="D41" s="41" t="s">
        <v>29</v>
      </c>
    </row>
    <row r="42" spans="2:4" x14ac:dyDescent="0.25">
      <c r="B42" s="41">
        <v>201603166</v>
      </c>
      <c r="C42" s="42" t="s">
        <v>82</v>
      </c>
      <c r="D42" s="41" t="s">
        <v>29</v>
      </c>
    </row>
    <row r="43" spans="2:4" x14ac:dyDescent="0.25">
      <c r="B43" s="41">
        <v>201505016</v>
      </c>
      <c r="C43" s="42" t="s">
        <v>83</v>
      </c>
      <c r="D43" s="41" t="s">
        <v>29</v>
      </c>
    </row>
    <row r="44" spans="2:4" x14ac:dyDescent="0.25">
      <c r="B44" s="41">
        <v>201401065</v>
      </c>
      <c r="C44" s="42" t="s">
        <v>84</v>
      </c>
      <c r="D44" s="41" t="s">
        <v>189</v>
      </c>
    </row>
    <row r="45" spans="2:4" x14ac:dyDescent="0.25">
      <c r="B45" s="41">
        <v>201508109</v>
      </c>
      <c r="C45" s="42" t="s">
        <v>85</v>
      </c>
      <c r="D45" s="41" t="s">
        <v>29</v>
      </c>
    </row>
    <row r="46" spans="2:4" x14ac:dyDescent="0.25">
      <c r="B46" s="41">
        <v>201607854</v>
      </c>
      <c r="C46" s="42" t="s">
        <v>41</v>
      </c>
      <c r="D46" s="41" t="s">
        <v>29</v>
      </c>
    </row>
    <row r="47" spans="2:4" x14ac:dyDescent="0.25">
      <c r="B47" s="41">
        <v>201600558</v>
      </c>
      <c r="C47" s="42" t="s">
        <v>86</v>
      </c>
      <c r="D47" s="41" t="s">
        <v>189</v>
      </c>
    </row>
    <row r="48" spans="2:4" x14ac:dyDescent="0.25">
      <c r="B48" s="41">
        <v>201502011</v>
      </c>
      <c r="C48" s="42" t="s">
        <v>87</v>
      </c>
      <c r="D48" s="41" t="s">
        <v>29</v>
      </c>
    </row>
    <row r="49" spans="2:4" x14ac:dyDescent="0.25">
      <c r="B49" s="41">
        <v>201401025</v>
      </c>
      <c r="C49" s="42" t="s">
        <v>88</v>
      </c>
      <c r="D49" s="41" t="s">
        <v>189</v>
      </c>
    </row>
    <row r="50" spans="2:4" x14ac:dyDescent="0.25">
      <c r="B50" s="41">
        <v>201505686</v>
      </c>
      <c r="C50" s="42" t="s">
        <v>89</v>
      </c>
      <c r="D50" s="41" t="s">
        <v>29</v>
      </c>
    </row>
    <row r="51" spans="2:4" x14ac:dyDescent="0.25">
      <c r="B51" s="41">
        <v>201603534</v>
      </c>
      <c r="C51" s="42" t="s">
        <v>90</v>
      </c>
      <c r="D51" s="41" t="s">
        <v>29</v>
      </c>
    </row>
    <row r="52" spans="2:4" x14ac:dyDescent="0.25">
      <c r="B52" s="41">
        <v>200507363</v>
      </c>
      <c r="C52" s="42" t="s">
        <v>2</v>
      </c>
      <c r="D52" s="41" t="s">
        <v>189</v>
      </c>
    </row>
    <row r="53" spans="2:4" x14ac:dyDescent="0.25">
      <c r="B53" s="41">
        <v>201401058</v>
      </c>
      <c r="C53" s="42" t="s">
        <v>3</v>
      </c>
      <c r="D53" s="41" t="s">
        <v>189</v>
      </c>
    </row>
    <row r="54" spans="2:4" x14ac:dyDescent="0.25">
      <c r="B54" s="41">
        <v>201508042</v>
      </c>
      <c r="C54" s="42" t="s">
        <v>8</v>
      </c>
      <c r="D54" s="41" t="s">
        <v>29</v>
      </c>
    </row>
    <row r="55" spans="2:4" x14ac:dyDescent="0.25">
      <c r="B55" s="41">
        <v>200809567</v>
      </c>
      <c r="C55" s="42" t="s">
        <v>91</v>
      </c>
      <c r="D55" s="41" t="s">
        <v>189</v>
      </c>
    </row>
    <row r="56" spans="2:4" x14ac:dyDescent="0.25">
      <c r="B56" s="41">
        <v>201600123</v>
      </c>
      <c r="C56" s="42" t="s">
        <v>92</v>
      </c>
      <c r="D56" s="41" t="s">
        <v>189</v>
      </c>
    </row>
    <row r="57" spans="2:4" x14ac:dyDescent="0.25">
      <c r="B57" s="41">
        <v>201512212</v>
      </c>
      <c r="C57" s="42" t="s">
        <v>93</v>
      </c>
      <c r="D57" s="41" t="s">
        <v>29</v>
      </c>
    </row>
    <row r="58" spans="2:4" x14ac:dyDescent="0.25">
      <c r="B58" s="41">
        <v>201010337</v>
      </c>
      <c r="C58" s="42" t="s">
        <v>94</v>
      </c>
      <c r="D58" s="41" t="s">
        <v>29</v>
      </c>
    </row>
    <row r="59" spans="2:4" x14ac:dyDescent="0.25">
      <c r="B59" s="41">
        <v>200402677</v>
      </c>
      <c r="C59" s="42" t="s">
        <v>95</v>
      </c>
      <c r="D59" s="41" t="s">
        <v>29</v>
      </c>
    </row>
    <row r="60" spans="2:4" x14ac:dyDescent="0.25">
      <c r="B60" s="41">
        <v>201201169</v>
      </c>
      <c r="C60" s="42" t="s">
        <v>42</v>
      </c>
      <c r="D60" s="41" t="s">
        <v>189</v>
      </c>
    </row>
    <row r="61" spans="2:4" x14ac:dyDescent="0.25">
      <c r="B61" s="41">
        <v>201603568</v>
      </c>
      <c r="C61" s="42" t="s">
        <v>96</v>
      </c>
      <c r="D61" s="41" t="s">
        <v>29</v>
      </c>
    </row>
    <row r="62" spans="2:4" x14ac:dyDescent="0.25">
      <c r="B62" s="41">
        <v>201512559</v>
      </c>
      <c r="C62" s="42" t="s">
        <v>97</v>
      </c>
      <c r="D62" s="41" t="s">
        <v>189</v>
      </c>
    </row>
    <row r="63" spans="2:4" x14ac:dyDescent="0.25">
      <c r="B63" s="41">
        <v>201506856</v>
      </c>
      <c r="C63" s="42" t="s">
        <v>98</v>
      </c>
      <c r="D63" s="41" t="s">
        <v>29</v>
      </c>
    </row>
    <row r="64" spans="2:4" x14ac:dyDescent="0.25">
      <c r="B64" s="41">
        <v>201600125</v>
      </c>
      <c r="C64" s="42" t="s">
        <v>99</v>
      </c>
      <c r="D64" s="41" t="s">
        <v>189</v>
      </c>
    </row>
    <row r="65" spans="2:4" x14ac:dyDescent="0.25">
      <c r="B65" s="41">
        <v>201401033</v>
      </c>
      <c r="C65" s="42" t="s">
        <v>100</v>
      </c>
      <c r="D65" s="41" t="s">
        <v>189</v>
      </c>
    </row>
    <row r="66" spans="2:4" x14ac:dyDescent="0.25">
      <c r="B66" s="41">
        <v>201102646</v>
      </c>
      <c r="C66" s="42" t="s">
        <v>101</v>
      </c>
      <c r="D66" s="41" t="s">
        <v>189</v>
      </c>
    </row>
    <row r="67" spans="2:4" x14ac:dyDescent="0.25">
      <c r="B67" s="41">
        <v>201409428</v>
      </c>
      <c r="C67" s="42" t="s">
        <v>102</v>
      </c>
      <c r="D67" s="41" t="s">
        <v>189</v>
      </c>
    </row>
    <row r="68" spans="2:4" x14ac:dyDescent="0.25">
      <c r="B68" s="41">
        <v>201301118</v>
      </c>
      <c r="C68" s="42" t="s">
        <v>103</v>
      </c>
      <c r="D68" s="41" t="s">
        <v>189</v>
      </c>
    </row>
    <row r="69" spans="2:4" x14ac:dyDescent="0.25">
      <c r="B69" s="41">
        <v>201410826</v>
      </c>
      <c r="C69" s="42" t="s">
        <v>104</v>
      </c>
      <c r="D69" s="41" t="s">
        <v>189</v>
      </c>
    </row>
    <row r="70" spans="2:4" x14ac:dyDescent="0.25">
      <c r="B70" s="41">
        <v>201407558</v>
      </c>
      <c r="C70" s="42" t="s">
        <v>105</v>
      </c>
      <c r="D70" s="41" t="s">
        <v>189</v>
      </c>
    </row>
    <row r="71" spans="2:4" x14ac:dyDescent="0.25">
      <c r="B71" s="41">
        <v>201512229</v>
      </c>
      <c r="C71" s="42" t="s">
        <v>106</v>
      </c>
      <c r="D71" s="41" t="s">
        <v>29</v>
      </c>
    </row>
    <row r="72" spans="2:4" x14ac:dyDescent="0.25">
      <c r="B72" s="41">
        <v>201603536</v>
      </c>
      <c r="C72" s="42" t="s">
        <v>107</v>
      </c>
      <c r="D72" s="41" t="s">
        <v>29</v>
      </c>
    </row>
    <row r="73" spans="2:4" x14ac:dyDescent="0.25">
      <c r="B73" s="41">
        <v>201512287</v>
      </c>
      <c r="C73" s="42" t="s">
        <v>108</v>
      </c>
      <c r="D73" s="41" t="s">
        <v>189</v>
      </c>
    </row>
    <row r="74" spans="2:4" x14ac:dyDescent="0.25">
      <c r="B74" s="41">
        <v>201209361</v>
      </c>
      <c r="C74" s="42" t="s">
        <v>109</v>
      </c>
      <c r="D74" s="41" t="s">
        <v>189</v>
      </c>
    </row>
    <row r="75" spans="2:4" x14ac:dyDescent="0.25">
      <c r="B75" s="41">
        <v>201512213</v>
      </c>
      <c r="C75" s="42" t="s">
        <v>110</v>
      </c>
      <c r="D75" s="41" t="s">
        <v>29</v>
      </c>
    </row>
    <row r="76" spans="2:4" x14ac:dyDescent="0.25">
      <c r="B76" s="41">
        <v>201512214</v>
      </c>
      <c r="C76" s="42" t="s">
        <v>111</v>
      </c>
      <c r="D76" s="41" t="s">
        <v>29</v>
      </c>
    </row>
    <row r="77" spans="2:4" x14ac:dyDescent="0.25">
      <c r="B77" s="41">
        <v>201600198</v>
      </c>
      <c r="C77" s="42" t="s">
        <v>112</v>
      </c>
      <c r="D77" s="41" t="s">
        <v>29</v>
      </c>
    </row>
    <row r="78" spans="2:4" x14ac:dyDescent="0.25">
      <c r="B78" s="41">
        <v>200503980</v>
      </c>
      <c r="C78" s="42" t="s">
        <v>113</v>
      </c>
      <c r="D78" s="41" t="s">
        <v>189</v>
      </c>
    </row>
    <row r="79" spans="2:4" x14ac:dyDescent="0.25">
      <c r="B79" s="41">
        <v>201300103</v>
      </c>
      <c r="C79" s="42" t="s">
        <v>114</v>
      </c>
      <c r="D79" s="41" t="s">
        <v>29</v>
      </c>
    </row>
    <row r="80" spans="2:4" x14ac:dyDescent="0.25">
      <c r="B80" s="41">
        <v>199801234</v>
      </c>
      <c r="C80" s="42" t="s">
        <v>115</v>
      </c>
      <c r="D80" s="41" t="s">
        <v>189</v>
      </c>
    </row>
    <row r="81" spans="2:4" x14ac:dyDescent="0.25">
      <c r="B81" s="41">
        <v>201300086</v>
      </c>
      <c r="C81" s="42" t="s">
        <v>116</v>
      </c>
      <c r="D81" s="41" t="s">
        <v>189</v>
      </c>
    </row>
    <row r="82" spans="2:4" x14ac:dyDescent="0.25">
      <c r="B82" s="41">
        <v>201603540</v>
      </c>
      <c r="C82" s="42" t="s">
        <v>117</v>
      </c>
      <c r="D82" s="41" t="s">
        <v>29</v>
      </c>
    </row>
    <row r="83" spans="2:4" x14ac:dyDescent="0.25">
      <c r="B83" s="41">
        <v>201508469</v>
      </c>
      <c r="C83" s="42" t="s">
        <v>118</v>
      </c>
      <c r="D83" s="41" t="s">
        <v>189</v>
      </c>
    </row>
    <row r="84" spans="2:4" x14ac:dyDescent="0.25">
      <c r="B84" s="41">
        <v>201407553</v>
      </c>
      <c r="C84" s="42" t="s">
        <v>119</v>
      </c>
      <c r="D84" s="41" t="s">
        <v>189</v>
      </c>
    </row>
    <row r="85" spans="2:4" x14ac:dyDescent="0.25">
      <c r="B85" s="41">
        <v>201101111</v>
      </c>
      <c r="C85" s="42" t="s">
        <v>120</v>
      </c>
      <c r="D85" s="41" t="s">
        <v>189</v>
      </c>
    </row>
    <row r="86" spans="2:4" x14ac:dyDescent="0.25">
      <c r="B86" s="41">
        <v>201100210</v>
      </c>
      <c r="C86" s="42" t="s">
        <v>121</v>
      </c>
      <c r="D86" s="41" t="s">
        <v>29</v>
      </c>
    </row>
    <row r="87" spans="2:4" x14ac:dyDescent="0.25">
      <c r="B87" s="41">
        <v>201502311</v>
      </c>
      <c r="C87" s="42" t="s">
        <v>122</v>
      </c>
      <c r="D87" s="41" t="s">
        <v>189</v>
      </c>
    </row>
    <row r="88" spans="2:4" x14ac:dyDescent="0.25">
      <c r="B88" s="41">
        <v>201604581</v>
      </c>
      <c r="C88" s="42" t="s">
        <v>123</v>
      </c>
      <c r="D88" s="41" t="s">
        <v>189</v>
      </c>
    </row>
    <row r="89" spans="2:4" x14ac:dyDescent="0.25">
      <c r="B89" s="41">
        <v>201409417</v>
      </c>
      <c r="C89" s="42" t="s">
        <v>124</v>
      </c>
      <c r="D89" s="41" t="s">
        <v>189</v>
      </c>
    </row>
    <row r="90" spans="2:4" x14ac:dyDescent="0.25">
      <c r="B90" s="41">
        <v>200201160</v>
      </c>
      <c r="C90" s="42" t="s">
        <v>125</v>
      </c>
      <c r="D90" s="41" t="s">
        <v>189</v>
      </c>
    </row>
    <row r="91" spans="2:4" x14ac:dyDescent="0.25">
      <c r="B91" s="41">
        <v>201408073</v>
      </c>
      <c r="C91" s="42" t="s">
        <v>126</v>
      </c>
      <c r="D91" s="41" t="s">
        <v>29</v>
      </c>
    </row>
    <row r="92" spans="2:4" x14ac:dyDescent="0.25">
      <c r="B92" s="41">
        <v>201505535</v>
      </c>
      <c r="C92" s="42" t="s">
        <v>127</v>
      </c>
      <c r="D92" s="41" t="s">
        <v>189</v>
      </c>
    </row>
    <row r="93" spans="2:4" x14ac:dyDescent="0.25">
      <c r="B93" s="41">
        <v>201512220</v>
      </c>
      <c r="C93" s="42" t="s">
        <v>128</v>
      </c>
      <c r="D93" s="41" t="s">
        <v>29</v>
      </c>
    </row>
    <row r="94" spans="2:4" x14ac:dyDescent="0.25">
      <c r="B94" s="41">
        <v>201008174</v>
      </c>
      <c r="C94" s="42" t="s">
        <v>129</v>
      </c>
      <c r="D94" s="41" t="s">
        <v>189</v>
      </c>
    </row>
    <row r="95" spans="2:4" x14ac:dyDescent="0.25">
      <c r="B95" s="41">
        <v>201210182</v>
      </c>
      <c r="C95" s="42" t="s">
        <v>43</v>
      </c>
      <c r="D95" s="41" t="s">
        <v>189</v>
      </c>
    </row>
    <row r="96" spans="2:4" x14ac:dyDescent="0.25">
      <c r="B96" s="41">
        <v>200101205</v>
      </c>
      <c r="C96" s="42" t="s">
        <v>130</v>
      </c>
      <c r="D96" s="41" t="s">
        <v>29</v>
      </c>
    </row>
    <row r="97" spans="2:4" x14ac:dyDescent="0.25">
      <c r="B97" s="41">
        <v>201603522</v>
      </c>
      <c r="C97" s="42" t="s">
        <v>131</v>
      </c>
      <c r="D97" s="41" t="s">
        <v>29</v>
      </c>
    </row>
    <row r="98" spans="2:4" x14ac:dyDescent="0.25">
      <c r="B98" s="41">
        <v>201410815</v>
      </c>
      <c r="C98" s="42" t="s">
        <v>132</v>
      </c>
      <c r="D98" s="41" t="s">
        <v>189</v>
      </c>
    </row>
    <row r="99" spans="2:4" x14ac:dyDescent="0.25">
      <c r="B99" s="41">
        <v>201001666</v>
      </c>
      <c r="C99" s="42" t="s">
        <v>133</v>
      </c>
      <c r="D99" s="41" t="s">
        <v>189</v>
      </c>
    </row>
    <row r="100" spans="2:4" x14ac:dyDescent="0.25">
      <c r="B100" s="41">
        <v>200901162</v>
      </c>
      <c r="C100" s="42" t="s">
        <v>9</v>
      </c>
      <c r="D100" s="41" t="s">
        <v>29</v>
      </c>
    </row>
    <row r="101" spans="2:4" x14ac:dyDescent="0.25">
      <c r="B101" s="41">
        <v>201603526</v>
      </c>
      <c r="C101" s="42" t="s">
        <v>134</v>
      </c>
      <c r="D101" s="41" t="s">
        <v>29</v>
      </c>
    </row>
    <row r="102" spans="2:4" x14ac:dyDescent="0.25">
      <c r="B102" s="41">
        <v>201101154</v>
      </c>
      <c r="C102" s="42" t="s">
        <v>135</v>
      </c>
      <c r="D102" s="41" t="s">
        <v>189</v>
      </c>
    </row>
    <row r="103" spans="2:4" x14ac:dyDescent="0.25">
      <c r="B103" s="41">
        <v>201505541</v>
      </c>
      <c r="C103" s="42" t="s">
        <v>4</v>
      </c>
      <c r="D103" s="41" t="s">
        <v>189</v>
      </c>
    </row>
    <row r="104" spans="2:4" x14ac:dyDescent="0.25">
      <c r="B104" s="41">
        <v>201512222</v>
      </c>
      <c r="C104" s="42" t="s">
        <v>136</v>
      </c>
      <c r="D104" s="41" t="s">
        <v>29</v>
      </c>
    </row>
    <row r="105" spans="2:4" x14ac:dyDescent="0.25">
      <c r="B105" s="41">
        <v>201512223</v>
      </c>
      <c r="C105" s="42" t="s">
        <v>191</v>
      </c>
      <c r="D105" s="41" t="s">
        <v>29</v>
      </c>
    </row>
    <row r="106" spans="2:4" x14ac:dyDescent="0.25">
      <c r="B106" s="41">
        <v>201207009</v>
      </c>
      <c r="C106" s="42" t="s">
        <v>137</v>
      </c>
      <c r="D106" s="41" t="s">
        <v>29</v>
      </c>
    </row>
    <row r="107" spans="2:4" x14ac:dyDescent="0.25">
      <c r="B107" s="41">
        <v>201400117</v>
      </c>
      <c r="C107" s="42" t="s">
        <v>138</v>
      </c>
      <c r="D107" s="41" t="s">
        <v>29</v>
      </c>
    </row>
    <row r="108" spans="2:4" x14ac:dyDescent="0.25">
      <c r="B108" s="41">
        <v>201309811</v>
      </c>
      <c r="C108" s="42" t="s">
        <v>192</v>
      </c>
      <c r="D108" s="41" t="s">
        <v>189</v>
      </c>
    </row>
    <row r="109" spans="2:4" x14ac:dyDescent="0.25">
      <c r="B109" s="41">
        <v>201401047</v>
      </c>
      <c r="C109" s="42" t="s">
        <v>139</v>
      </c>
      <c r="D109" s="41" t="s">
        <v>189</v>
      </c>
    </row>
    <row r="110" spans="2:4" x14ac:dyDescent="0.25">
      <c r="B110" s="41">
        <v>201508455</v>
      </c>
      <c r="C110" s="42" t="s">
        <v>140</v>
      </c>
      <c r="D110" s="41" t="s">
        <v>189</v>
      </c>
    </row>
    <row r="111" spans="2:4" x14ac:dyDescent="0.25">
      <c r="B111" s="41">
        <v>201410817</v>
      </c>
      <c r="C111" s="42" t="s">
        <v>141</v>
      </c>
      <c r="D111" s="41" t="s">
        <v>189</v>
      </c>
    </row>
    <row r="112" spans="2:4" x14ac:dyDescent="0.25">
      <c r="B112" s="41">
        <v>201001226</v>
      </c>
      <c r="C112" s="42" t="s">
        <v>142</v>
      </c>
      <c r="D112" s="41" t="s">
        <v>29</v>
      </c>
    </row>
    <row r="113" spans="2:4" x14ac:dyDescent="0.25">
      <c r="B113" s="41">
        <v>200501713</v>
      </c>
      <c r="C113" s="42" t="s">
        <v>10</v>
      </c>
      <c r="D113" s="41" t="s">
        <v>29</v>
      </c>
    </row>
    <row r="114" spans="2:4" x14ac:dyDescent="0.25">
      <c r="B114" s="41">
        <v>201508457</v>
      </c>
      <c r="C114" s="42" t="s">
        <v>143</v>
      </c>
      <c r="D114" s="41" t="s">
        <v>189</v>
      </c>
    </row>
    <row r="115" spans="2:4" x14ac:dyDescent="0.25">
      <c r="B115" s="41">
        <v>201603531</v>
      </c>
      <c r="C115" s="42" t="s">
        <v>44</v>
      </c>
      <c r="D115" s="41" t="s">
        <v>29</v>
      </c>
    </row>
    <row r="116" spans="2:4" x14ac:dyDescent="0.25">
      <c r="B116" s="41">
        <v>201604590</v>
      </c>
      <c r="C116" s="42" t="s">
        <v>144</v>
      </c>
      <c r="D116" s="41" t="s">
        <v>189</v>
      </c>
    </row>
    <row r="117" spans="2:4" x14ac:dyDescent="0.25">
      <c r="B117" s="41">
        <v>201502009</v>
      </c>
      <c r="C117" s="42" t="s">
        <v>145</v>
      </c>
      <c r="D117" s="41" t="s">
        <v>29</v>
      </c>
    </row>
    <row r="118" spans="2:4" x14ac:dyDescent="0.25">
      <c r="B118" s="41">
        <v>201400895</v>
      </c>
      <c r="C118" s="42" t="s">
        <v>146</v>
      </c>
      <c r="D118" s="41" t="s">
        <v>189</v>
      </c>
    </row>
    <row r="119" spans="2:4" x14ac:dyDescent="0.25">
      <c r="B119" s="41">
        <v>201308678</v>
      </c>
      <c r="C119" s="42" t="s">
        <v>147</v>
      </c>
      <c r="D119" s="41" t="s">
        <v>29</v>
      </c>
    </row>
    <row r="120" spans="2:4" x14ac:dyDescent="0.25">
      <c r="B120" s="41">
        <v>201603559</v>
      </c>
      <c r="C120" s="42" t="s">
        <v>148</v>
      </c>
      <c r="D120" s="41" t="s">
        <v>29</v>
      </c>
    </row>
    <row r="121" spans="2:4" x14ac:dyDescent="0.25">
      <c r="B121" s="41">
        <v>201512557</v>
      </c>
      <c r="C121" s="42" t="s">
        <v>149</v>
      </c>
      <c r="D121" s="41" t="s">
        <v>189</v>
      </c>
    </row>
    <row r="122" spans="2:4" x14ac:dyDescent="0.25">
      <c r="B122" s="41">
        <v>201512549</v>
      </c>
      <c r="C122" s="42" t="s">
        <v>5</v>
      </c>
      <c r="D122" s="41" t="s">
        <v>189</v>
      </c>
    </row>
    <row r="123" spans="2:4" x14ac:dyDescent="0.25">
      <c r="B123" s="41">
        <v>200603052</v>
      </c>
      <c r="C123" s="42" t="s">
        <v>150</v>
      </c>
      <c r="D123" s="41" t="s">
        <v>189</v>
      </c>
    </row>
    <row r="124" spans="2:4" x14ac:dyDescent="0.25">
      <c r="B124" s="41">
        <v>201400104</v>
      </c>
      <c r="C124" s="42" t="s">
        <v>151</v>
      </c>
      <c r="D124" s="41" t="s">
        <v>29</v>
      </c>
    </row>
    <row r="125" spans="2:4" x14ac:dyDescent="0.25">
      <c r="B125" s="41">
        <v>200301296</v>
      </c>
      <c r="C125" s="42" t="s">
        <v>11</v>
      </c>
      <c r="D125" s="41" t="s">
        <v>189</v>
      </c>
    </row>
    <row r="126" spans="2:4" x14ac:dyDescent="0.25">
      <c r="B126" s="41">
        <v>201512226</v>
      </c>
      <c r="C126" s="42" t="s">
        <v>152</v>
      </c>
      <c r="D126" s="41" t="s">
        <v>29</v>
      </c>
    </row>
    <row r="127" spans="2:4" x14ac:dyDescent="0.25">
      <c r="B127" s="41">
        <v>201507175</v>
      </c>
      <c r="C127" s="42" t="s">
        <v>153</v>
      </c>
      <c r="D127" s="41" t="s">
        <v>189</v>
      </c>
    </row>
    <row r="128" spans="2:4" x14ac:dyDescent="0.25">
      <c r="B128" s="41">
        <v>200908803</v>
      </c>
      <c r="C128" s="42" t="s">
        <v>12</v>
      </c>
      <c r="D128" s="41" t="s">
        <v>29</v>
      </c>
    </row>
    <row r="129" spans="2:4" x14ac:dyDescent="0.25">
      <c r="B129" s="41">
        <v>201502012</v>
      </c>
      <c r="C129" s="42" t="s">
        <v>154</v>
      </c>
      <c r="D129" s="41" t="s">
        <v>29</v>
      </c>
    </row>
    <row r="130" spans="2:4" x14ac:dyDescent="0.25">
      <c r="B130" s="41">
        <v>201606425</v>
      </c>
      <c r="C130" s="42" t="s">
        <v>155</v>
      </c>
      <c r="D130" s="41" t="s">
        <v>29</v>
      </c>
    </row>
    <row r="131" spans="2:4" x14ac:dyDescent="0.25">
      <c r="B131" s="41">
        <v>201604593</v>
      </c>
      <c r="C131" s="42" t="s">
        <v>156</v>
      </c>
      <c r="D131" s="41" t="s">
        <v>189</v>
      </c>
    </row>
    <row r="132" spans="2:4" x14ac:dyDescent="0.25">
      <c r="B132" s="41">
        <v>201309542</v>
      </c>
      <c r="C132" s="42" t="s">
        <v>157</v>
      </c>
      <c r="D132" s="41" t="s">
        <v>29</v>
      </c>
    </row>
    <row r="133" spans="2:4" x14ac:dyDescent="0.25">
      <c r="B133" s="41">
        <v>201001346</v>
      </c>
      <c r="C133" s="42" t="s">
        <v>158</v>
      </c>
      <c r="D133" s="41" t="s">
        <v>29</v>
      </c>
    </row>
    <row r="134" spans="2:4" x14ac:dyDescent="0.25">
      <c r="B134" s="41">
        <v>201606257</v>
      </c>
      <c r="C134" s="42" t="s">
        <v>159</v>
      </c>
      <c r="D134" s="41" t="s">
        <v>189</v>
      </c>
    </row>
    <row r="135" spans="2:4" x14ac:dyDescent="0.25">
      <c r="B135" s="41">
        <v>201101166</v>
      </c>
      <c r="C135" s="42" t="s">
        <v>160</v>
      </c>
      <c r="D135" s="41" t="s">
        <v>29</v>
      </c>
    </row>
    <row r="136" spans="2:4" x14ac:dyDescent="0.25">
      <c r="B136" s="41">
        <v>200201504</v>
      </c>
      <c r="C136" s="42" t="s">
        <v>161</v>
      </c>
      <c r="D136" s="41" t="s">
        <v>189</v>
      </c>
    </row>
    <row r="137" spans="2:4" x14ac:dyDescent="0.25">
      <c r="B137" s="41">
        <v>201603535</v>
      </c>
      <c r="C137" s="42" t="s">
        <v>162</v>
      </c>
      <c r="D137" s="41" t="s">
        <v>29</v>
      </c>
    </row>
    <row r="138" spans="2:4" x14ac:dyDescent="0.25">
      <c r="B138" s="41">
        <v>201508112</v>
      </c>
      <c r="C138" s="42" t="s">
        <v>163</v>
      </c>
      <c r="D138" s="41" t="s">
        <v>29</v>
      </c>
    </row>
    <row r="139" spans="2:4" x14ac:dyDescent="0.25">
      <c r="B139" s="41">
        <v>200105824</v>
      </c>
      <c r="C139" s="42" t="s">
        <v>164</v>
      </c>
      <c r="D139" s="41" t="s">
        <v>189</v>
      </c>
    </row>
    <row r="140" spans="2:4" x14ac:dyDescent="0.25">
      <c r="B140" s="41">
        <v>201606429</v>
      </c>
      <c r="C140" s="42" t="s">
        <v>165</v>
      </c>
      <c r="D140" s="41" t="s">
        <v>29</v>
      </c>
    </row>
    <row r="141" spans="2:4" x14ac:dyDescent="0.25">
      <c r="B141" s="41">
        <v>201502370</v>
      </c>
      <c r="C141" s="42" t="s">
        <v>166</v>
      </c>
      <c r="D141" s="41" t="s">
        <v>189</v>
      </c>
    </row>
    <row r="142" spans="2:4" x14ac:dyDescent="0.25">
      <c r="B142" s="41">
        <v>201512551</v>
      </c>
      <c r="C142" s="42" t="s">
        <v>167</v>
      </c>
      <c r="D142" s="41" t="s">
        <v>189</v>
      </c>
    </row>
    <row r="143" spans="2:4" x14ac:dyDescent="0.25">
      <c r="B143" s="41">
        <v>200801715</v>
      </c>
      <c r="C143" s="42" t="s">
        <v>193</v>
      </c>
      <c r="D143" s="41" t="s">
        <v>189</v>
      </c>
    </row>
    <row r="144" spans="2:4" x14ac:dyDescent="0.25">
      <c r="B144" s="41">
        <v>201400065</v>
      </c>
      <c r="C144" s="42" t="s">
        <v>168</v>
      </c>
      <c r="D144" s="41" t="s">
        <v>189</v>
      </c>
    </row>
    <row r="145" spans="2:4" x14ac:dyDescent="0.25">
      <c r="B145" s="41">
        <v>201409210</v>
      </c>
      <c r="C145" s="42" t="s">
        <v>45</v>
      </c>
      <c r="D145" s="41" t="s">
        <v>29</v>
      </c>
    </row>
    <row r="146" spans="2:4" x14ac:dyDescent="0.25">
      <c r="B146" s="41">
        <v>200801413</v>
      </c>
      <c r="C146" s="42" t="s">
        <v>169</v>
      </c>
      <c r="D146" s="41" t="s">
        <v>189</v>
      </c>
    </row>
    <row r="147" spans="2:4" x14ac:dyDescent="0.25">
      <c r="B147" s="41">
        <v>201400125</v>
      </c>
      <c r="C147" s="42" t="s">
        <v>13</v>
      </c>
      <c r="D147" s="41" t="s">
        <v>29</v>
      </c>
    </row>
    <row r="148" spans="2:4" x14ac:dyDescent="0.25">
      <c r="B148" s="41">
        <v>201500840</v>
      </c>
      <c r="C148" s="42" t="s">
        <v>170</v>
      </c>
      <c r="D148" s="41" t="s">
        <v>29</v>
      </c>
    </row>
    <row r="149" spans="2:4" x14ac:dyDescent="0.25">
      <c r="B149" s="41">
        <v>199909383</v>
      </c>
      <c r="C149" s="42" t="s">
        <v>171</v>
      </c>
      <c r="D149" s="41" t="s">
        <v>189</v>
      </c>
    </row>
    <row r="150" spans="2:4" x14ac:dyDescent="0.25">
      <c r="B150" s="41">
        <v>201400198</v>
      </c>
      <c r="C150" s="42" t="s">
        <v>172</v>
      </c>
      <c r="D150" s="41" t="s">
        <v>189</v>
      </c>
    </row>
    <row r="151" spans="2:4" x14ac:dyDescent="0.25">
      <c r="B151" s="41">
        <v>201508465</v>
      </c>
      <c r="C151" s="42" t="s">
        <v>173</v>
      </c>
      <c r="D151" s="41" t="s">
        <v>189</v>
      </c>
    </row>
    <row r="152" spans="2:4" x14ac:dyDescent="0.25">
      <c r="B152" s="41">
        <v>201410827</v>
      </c>
      <c r="C152" s="42" t="s">
        <v>174</v>
      </c>
      <c r="D152" s="41" t="s">
        <v>189</v>
      </c>
    </row>
    <row r="153" spans="2:4" x14ac:dyDescent="0.25">
      <c r="B153" s="41">
        <v>201100227</v>
      </c>
      <c r="C153" s="42" t="s">
        <v>175</v>
      </c>
      <c r="D153" s="41" t="s">
        <v>29</v>
      </c>
    </row>
    <row r="154" spans="2:4" x14ac:dyDescent="0.25">
      <c r="B154" s="41">
        <v>201510245</v>
      </c>
      <c r="C154" s="42" t="s">
        <v>6</v>
      </c>
      <c r="D154" s="41" t="s">
        <v>29</v>
      </c>
    </row>
    <row r="155" spans="2:4" x14ac:dyDescent="0.25">
      <c r="B155" s="41">
        <v>201512217</v>
      </c>
      <c r="C155" s="42" t="s">
        <v>176</v>
      </c>
      <c r="D155" s="41" t="s">
        <v>29</v>
      </c>
    </row>
    <row r="156" spans="2:4" x14ac:dyDescent="0.25">
      <c r="B156" s="41">
        <v>201401037</v>
      </c>
      <c r="C156" s="42" t="s">
        <v>177</v>
      </c>
      <c r="D156" s="41" t="s">
        <v>189</v>
      </c>
    </row>
    <row r="157" spans="2:4" x14ac:dyDescent="0.25">
      <c r="B157" s="41">
        <v>201110517</v>
      </c>
      <c r="C157" s="42" t="s">
        <v>178</v>
      </c>
      <c r="D157" s="41" t="s">
        <v>29</v>
      </c>
    </row>
    <row r="158" spans="2:4" x14ac:dyDescent="0.25">
      <c r="B158" s="41">
        <v>201409431</v>
      </c>
      <c r="C158" s="42" t="s">
        <v>179</v>
      </c>
      <c r="D158" s="41" t="s">
        <v>189</v>
      </c>
    </row>
    <row r="159" spans="2:4" x14ac:dyDescent="0.25">
      <c r="B159" s="41">
        <v>201401062</v>
      </c>
      <c r="C159" s="42" t="s">
        <v>180</v>
      </c>
      <c r="D159" s="41" t="s">
        <v>189</v>
      </c>
    </row>
    <row r="160" spans="2:4" x14ac:dyDescent="0.25">
      <c r="B160" s="30"/>
      <c r="C160" s="31"/>
      <c r="D160" s="30"/>
    </row>
    <row r="161" spans="2:4" x14ac:dyDescent="0.25">
      <c r="B161" s="30"/>
      <c r="C161" s="31"/>
      <c r="D161" s="30"/>
    </row>
    <row r="162" spans="2:4" x14ac:dyDescent="0.25">
      <c r="B162" s="30"/>
      <c r="C162" s="31"/>
      <c r="D162" s="30"/>
    </row>
    <row r="163" spans="2:4" x14ac:dyDescent="0.25">
      <c r="B163" s="30"/>
      <c r="C163" s="31"/>
      <c r="D163" s="30"/>
    </row>
    <row r="164" spans="2:4" x14ac:dyDescent="0.25">
      <c r="B164" s="30"/>
      <c r="C164" s="31"/>
      <c r="D164" s="30"/>
    </row>
    <row r="165" spans="2:4" x14ac:dyDescent="0.25">
      <c r="B165" s="30"/>
      <c r="C165" s="31"/>
      <c r="D165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8"/>
  <sheetViews>
    <sheetView topLeftCell="A8" zoomScaleNormal="100" workbookViewId="0">
      <selection activeCell="A10" sqref="A10"/>
    </sheetView>
  </sheetViews>
  <sheetFormatPr baseColWidth="10" defaultRowHeight="15" x14ac:dyDescent="0.25"/>
  <cols>
    <col min="1" max="1" width="4.42578125" style="3" customWidth="1"/>
    <col min="2" max="2" width="48.85546875" customWidth="1"/>
    <col min="3" max="3" width="15.140625" customWidth="1"/>
    <col min="5" max="5" width="15" customWidth="1"/>
    <col min="7" max="7" width="12.5703125" customWidth="1"/>
  </cols>
  <sheetData>
    <row r="1" spans="1:7" x14ac:dyDescent="0.25">
      <c r="F1" s="1"/>
    </row>
    <row r="2" spans="1:7" ht="18.75" x14ac:dyDescent="0.3">
      <c r="B2" s="45" t="s">
        <v>181</v>
      </c>
      <c r="C2" s="45"/>
      <c r="D2" s="45"/>
      <c r="E2" s="45"/>
      <c r="F2" s="45"/>
    </row>
    <row r="3" spans="1:7" x14ac:dyDescent="0.25">
      <c r="F3" s="1"/>
    </row>
    <row r="4" spans="1:7" ht="18.75" x14ac:dyDescent="0.3">
      <c r="B4" s="37" t="s">
        <v>21</v>
      </c>
      <c r="C4" s="44" t="s">
        <v>38</v>
      </c>
      <c r="D4" s="44"/>
      <c r="E4" s="44"/>
      <c r="F4" s="1"/>
    </row>
    <row r="5" spans="1:7" ht="18.75" x14ac:dyDescent="0.3">
      <c r="B5" s="37" t="s">
        <v>20</v>
      </c>
      <c r="C5" s="38">
        <v>1</v>
      </c>
      <c r="D5" s="39"/>
      <c r="E5" s="40"/>
      <c r="F5" s="8"/>
    </row>
    <row r="6" spans="1:7" ht="18.75" x14ac:dyDescent="0.3">
      <c r="B6" s="37" t="s">
        <v>22</v>
      </c>
      <c r="C6" s="44" t="s">
        <v>182</v>
      </c>
      <c r="D6" s="44"/>
      <c r="E6" s="40"/>
      <c r="F6" s="1"/>
    </row>
    <row r="7" spans="1:7" ht="18.75" x14ac:dyDescent="0.3">
      <c r="B7" s="37" t="s">
        <v>37</v>
      </c>
      <c r="C7" s="38">
        <f>COUNT(A:A)</f>
        <v>19</v>
      </c>
      <c r="D7" s="38"/>
      <c r="E7" s="40"/>
      <c r="F7" s="1"/>
    </row>
    <row r="8" spans="1:7" x14ac:dyDescent="0.25">
      <c r="F8" s="1"/>
    </row>
    <row r="9" spans="1:7" x14ac:dyDescent="0.25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  <c r="G9" s="2">
        <f>+A11+1</f>
        <v>3</v>
      </c>
    </row>
    <row r="10" spans="1:7" x14ac:dyDescent="0.25">
      <c r="A10" s="32">
        <v>1</v>
      </c>
      <c r="B10" s="33" t="s">
        <v>50</v>
      </c>
      <c r="C10" s="32">
        <v>201604581</v>
      </c>
      <c r="D10" s="32"/>
      <c r="E10" s="32" t="s">
        <v>36</v>
      </c>
      <c r="F10" s="4"/>
      <c r="G10" s="2"/>
    </row>
    <row r="11" spans="1:7" x14ac:dyDescent="0.25">
      <c r="A11" s="34">
        <v>2</v>
      </c>
      <c r="B11" s="35" t="s">
        <v>194</v>
      </c>
      <c r="C11" s="34">
        <v>201209048</v>
      </c>
      <c r="D11" s="34">
        <v>89123</v>
      </c>
      <c r="E11" s="34" t="s">
        <v>195</v>
      </c>
      <c r="F11" s="4"/>
      <c r="G11" s="2"/>
    </row>
    <row r="12" spans="1:7" x14ac:dyDescent="0.25">
      <c r="A12" s="34">
        <v>2</v>
      </c>
      <c r="B12" s="35" t="e">
        <v>#N/A</v>
      </c>
      <c r="C12" s="34"/>
      <c r="D12" s="34"/>
      <c r="E12" s="34" t="e">
        <v>#N/A</v>
      </c>
      <c r="F12" s="4"/>
      <c r="G12" s="2"/>
    </row>
    <row r="13" spans="1:7" x14ac:dyDescent="0.25">
      <c r="A13" s="34">
        <v>2</v>
      </c>
      <c r="B13" s="35" t="e">
        <v>#N/A</v>
      </c>
      <c r="C13" s="34">
        <v>0</v>
      </c>
      <c r="D13" s="34"/>
      <c r="E13" s="34" t="e">
        <v>#N/A</v>
      </c>
      <c r="F13" s="4"/>
      <c r="G13" s="2"/>
    </row>
    <row r="14" spans="1:7" x14ac:dyDescent="0.25">
      <c r="A14" s="34">
        <v>2</v>
      </c>
      <c r="B14" s="35" t="s">
        <v>193</v>
      </c>
      <c r="C14" s="34">
        <v>200801715</v>
      </c>
      <c r="D14" s="34">
        <v>46464646464</v>
      </c>
      <c r="E14" s="34" t="s">
        <v>189</v>
      </c>
      <c r="F14" s="4"/>
      <c r="G14" s="2"/>
    </row>
    <row r="15" spans="1:7" x14ac:dyDescent="0.25">
      <c r="A15" s="34">
        <v>2</v>
      </c>
      <c r="B15" s="35" t="s">
        <v>72</v>
      </c>
      <c r="C15" s="34">
        <v>201005145</v>
      </c>
      <c r="D15" s="34"/>
      <c r="E15" s="34" t="s">
        <v>36</v>
      </c>
      <c r="F15" s="4"/>
      <c r="G15" s="2"/>
    </row>
    <row r="16" spans="1:7" x14ac:dyDescent="0.25">
      <c r="A16" s="34">
        <v>3</v>
      </c>
      <c r="B16" s="35" t="s">
        <v>74</v>
      </c>
      <c r="C16" s="34">
        <v>201309820</v>
      </c>
      <c r="D16" s="34"/>
      <c r="E16" s="34" t="s">
        <v>36</v>
      </c>
      <c r="F16" s="4"/>
      <c r="G16" s="2"/>
    </row>
    <row r="17" spans="1:7" x14ac:dyDescent="0.25">
      <c r="A17" s="34">
        <v>4</v>
      </c>
      <c r="B17" s="35" t="s">
        <v>86</v>
      </c>
      <c r="C17" s="34">
        <v>201502316</v>
      </c>
      <c r="D17" s="34"/>
      <c r="E17" s="34" t="s">
        <v>36</v>
      </c>
      <c r="F17" s="4"/>
      <c r="G17" s="2"/>
    </row>
    <row r="18" spans="1:7" x14ac:dyDescent="0.25">
      <c r="A18" s="34">
        <v>5</v>
      </c>
      <c r="B18" s="35" t="s">
        <v>98</v>
      </c>
      <c r="C18" s="34">
        <v>201603531</v>
      </c>
      <c r="D18" s="34"/>
      <c r="E18" s="34" t="s">
        <v>29</v>
      </c>
      <c r="F18" s="4"/>
      <c r="G18" s="2"/>
    </row>
    <row r="19" spans="1:7" x14ac:dyDescent="0.25">
      <c r="A19" s="34">
        <v>6</v>
      </c>
      <c r="B19" s="35" t="s">
        <v>107</v>
      </c>
      <c r="C19" s="34">
        <v>201502009</v>
      </c>
      <c r="D19" s="34"/>
      <c r="E19" s="34" t="s">
        <v>29</v>
      </c>
      <c r="F19" s="4"/>
      <c r="G19" s="2"/>
    </row>
    <row r="20" spans="1:7" x14ac:dyDescent="0.25">
      <c r="A20" s="34">
        <v>7</v>
      </c>
      <c r="B20" s="35" t="s">
        <v>108</v>
      </c>
      <c r="C20" s="34">
        <v>201508108</v>
      </c>
      <c r="D20" s="34"/>
      <c r="E20" s="34" t="s">
        <v>29</v>
      </c>
      <c r="F20" s="4"/>
      <c r="G20" s="2"/>
    </row>
    <row r="21" spans="1:7" x14ac:dyDescent="0.25">
      <c r="A21" s="32">
        <v>8</v>
      </c>
      <c r="B21" s="35" t="s">
        <v>112</v>
      </c>
      <c r="C21" s="34">
        <v>201603166</v>
      </c>
      <c r="D21" s="34"/>
      <c r="E21" s="34" t="s">
        <v>29</v>
      </c>
      <c r="F21" s="4"/>
      <c r="G21" s="2"/>
    </row>
    <row r="22" spans="1:7" x14ac:dyDescent="0.25">
      <c r="A22" s="34">
        <v>9</v>
      </c>
      <c r="B22" s="35" t="s">
        <v>127</v>
      </c>
      <c r="C22" s="34">
        <v>201505686</v>
      </c>
      <c r="D22" s="34"/>
      <c r="E22" s="34" t="s">
        <v>29</v>
      </c>
      <c r="F22" s="4"/>
      <c r="G22" s="2"/>
    </row>
    <row r="23" spans="1:7" x14ac:dyDescent="0.25">
      <c r="A23" s="34">
        <v>10</v>
      </c>
      <c r="B23" s="35" t="s">
        <v>135</v>
      </c>
      <c r="C23" s="34">
        <v>201606257</v>
      </c>
      <c r="D23" s="34"/>
      <c r="E23" s="34" t="s">
        <v>36</v>
      </c>
      <c r="F23" s="4"/>
      <c r="G23" s="2"/>
    </row>
    <row r="24" spans="1:7" x14ac:dyDescent="0.25">
      <c r="A24" s="34">
        <v>11</v>
      </c>
      <c r="B24" s="35" t="s">
        <v>44</v>
      </c>
      <c r="C24" s="34">
        <v>201606429</v>
      </c>
      <c r="D24" s="34"/>
      <c r="E24" s="34" t="s">
        <v>29</v>
      </c>
      <c r="F24" s="4"/>
      <c r="G24" s="2"/>
    </row>
    <row r="25" spans="1:7" x14ac:dyDescent="0.25">
      <c r="A25" s="34">
        <v>12</v>
      </c>
      <c r="B25" s="35" t="s">
        <v>160</v>
      </c>
      <c r="C25" s="34">
        <v>201512287</v>
      </c>
      <c r="D25" s="34"/>
      <c r="E25" s="34" t="s">
        <v>36</v>
      </c>
      <c r="F25" s="4"/>
      <c r="G25" s="2"/>
    </row>
    <row r="26" spans="1:7" x14ac:dyDescent="0.25">
      <c r="A26" s="34">
        <v>13</v>
      </c>
      <c r="B26" s="35" t="s">
        <v>45</v>
      </c>
      <c r="C26" s="34">
        <v>201400198</v>
      </c>
      <c r="D26" s="34"/>
      <c r="E26" s="34" t="s">
        <v>36</v>
      </c>
      <c r="F26" s="4"/>
      <c r="G26" s="2"/>
    </row>
    <row r="27" spans="1:7" x14ac:dyDescent="0.25">
      <c r="A27" s="34">
        <v>14</v>
      </c>
      <c r="B27" s="35" t="s">
        <v>169</v>
      </c>
      <c r="C27" s="34">
        <v>201508465</v>
      </c>
      <c r="D27" s="34"/>
      <c r="E27" s="34" t="s">
        <v>36</v>
      </c>
      <c r="F27" s="4"/>
      <c r="G27" s="2"/>
    </row>
    <row r="28" spans="1:7" x14ac:dyDescent="0.25">
      <c r="A28" s="32">
        <v>15</v>
      </c>
      <c r="B28" s="35" t="s">
        <v>170</v>
      </c>
      <c r="C28" s="34">
        <v>199801234</v>
      </c>
      <c r="D28" s="34"/>
      <c r="E28" s="34" t="s">
        <v>36</v>
      </c>
      <c r="F28" s="4"/>
      <c r="G28" s="2"/>
    </row>
  </sheetData>
  <sortState ref="A10:E12">
    <sortCondition ref="A10"/>
  </sortState>
  <mergeCells count="3">
    <mergeCell ref="C6:D6"/>
    <mergeCell ref="B2:F2"/>
    <mergeCell ref="C4:E4"/>
  </mergeCells>
  <pageMargins left="0.7" right="0.7" top="0.75" bottom="0.75" header="0.3" footer="0.3"/>
  <pageSetup paperSize="9" scale="82" orientation="portrait" horizontalDpi="4294967293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9"/>
  <sheetViews>
    <sheetView view="pageBreakPreview" zoomScale="60" zoomScaleNormal="100" workbookViewId="0">
      <selection activeCell="B10" sqref="B10"/>
    </sheetView>
  </sheetViews>
  <sheetFormatPr baseColWidth="10" defaultRowHeight="15" x14ac:dyDescent="0.25"/>
  <cols>
    <col min="1" max="1" width="4.42578125" customWidth="1"/>
    <col min="2" max="2" width="48.140625" customWidth="1"/>
    <col min="3" max="3" width="15.140625" customWidth="1"/>
    <col min="5" max="5" width="15.7109375" customWidth="1"/>
    <col min="7" max="7" width="13.85546875" customWidth="1"/>
  </cols>
  <sheetData>
    <row r="1" spans="1:6" x14ac:dyDescent="0.25">
      <c r="A1" s="3"/>
      <c r="F1" s="1"/>
    </row>
    <row r="2" spans="1:6" ht="23.25" x14ac:dyDescent="0.35">
      <c r="A2" s="3"/>
      <c r="B2" s="46" t="s">
        <v>181</v>
      </c>
      <c r="C2" s="46"/>
      <c r="D2" s="46"/>
      <c r="E2" s="46"/>
      <c r="F2" s="46"/>
    </row>
    <row r="3" spans="1:6" x14ac:dyDescent="0.25">
      <c r="A3" s="3"/>
      <c r="F3" s="1"/>
    </row>
    <row r="4" spans="1:6" ht="18.75" x14ac:dyDescent="0.3">
      <c r="A4" s="3"/>
      <c r="B4" s="37" t="s">
        <v>21</v>
      </c>
      <c r="C4" s="44" t="s">
        <v>38</v>
      </c>
      <c r="D4" s="44"/>
      <c r="E4" s="44"/>
      <c r="F4" s="1"/>
    </row>
    <row r="5" spans="1:6" ht="18.75" x14ac:dyDescent="0.3">
      <c r="A5" s="3"/>
      <c r="B5" s="37" t="s">
        <v>20</v>
      </c>
      <c r="C5" s="38">
        <v>2</v>
      </c>
      <c r="D5" s="39"/>
      <c r="F5" s="8"/>
    </row>
    <row r="6" spans="1:6" ht="18.75" x14ac:dyDescent="0.3">
      <c r="A6" s="3"/>
      <c r="B6" s="37" t="s">
        <v>22</v>
      </c>
      <c r="C6" s="44" t="s">
        <v>185</v>
      </c>
      <c r="D6" s="44"/>
      <c r="F6" s="1"/>
    </row>
    <row r="7" spans="1:6" ht="18.75" x14ac:dyDescent="0.3">
      <c r="A7" s="3"/>
      <c r="B7" s="37" t="s">
        <v>37</v>
      </c>
      <c r="C7" s="38">
        <f>COUNT(A:A)</f>
        <v>17</v>
      </c>
      <c r="D7" s="38"/>
      <c r="F7" s="1"/>
    </row>
    <row r="8" spans="1:6" x14ac:dyDescent="0.25">
      <c r="A8" s="3"/>
      <c r="F8" s="1"/>
    </row>
    <row r="9" spans="1:6" x14ac:dyDescent="0.25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5">
      <c r="A10" s="32">
        <v>1</v>
      </c>
      <c r="B10" s="33" t="s">
        <v>194</v>
      </c>
      <c r="C10" s="32">
        <v>0</v>
      </c>
      <c r="D10" s="32"/>
      <c r="E10" s="32" t="s">
        <v>195</v>
      </c>
      <c r="F10" s="4"/>
    </row>
    <row r="11" spans="1:6" x14ac:dyDescent="0.25">
      <c r="A11" s="34">
        <v>1</v>
      </c>
      <c r="B11" s="35" t="s">
        <v>0</v>
      </c>
      <c r="C11" s="34">
        <v>201208143</v>
      </c>
      <c r="D11" s="34"/>
      <c r="E11" s="34" t="s">
        <v>29</v>
      </c>
      <c r="F11" s="4"/>
    </row>
    <row r="12" spans="1:6" x14ac:dyDescent="0.25">
      <c r="A12" s="34">
        <v>2</v>
      </c>
      <c r="B12" s="35" t="s">
        <v>87</v>
      </c>
      <c r="C12" s="34">
        <v>201604646</v>
      </c>
      <c r="D12" s="34"/>
      <c r="E12" s="34" t="s">
        <v>29</v>
      </c>
      <c r="F12" s="4"/>
    </row>
    <row r="13" spans="1:6" x14ac:dyDescent="0.25">
      <c r="A13" s="34">
        <v>3</v>
      </c>
      <c r="B13" s="35" t="s">
        <v>2</v>
      </c>
      <c r="C13" s="34">
        <v>201502008</v>
      </c>
      <c r="D13" s="34"/>
      <c r="E13" s="34" t="s">
        <v>29</v>
      </c>
      <c r="F13" s="4"/>
    </row>
    <row r="14" spans="1:6" x14ac:dyDescent="0.25">
      <c r="A14" s="32">
        <v>4</v>
      </c>
      <c r="B14" s="35" t="s">
        <v>110</v>
      </c>
      <c r="C14" s="34">
        <v>201400895</v>
      </c>
      <c r="D14" s="34"/>
      <c r="E14" s="34" t="s">
        <v>36</v>
      </c>
      <c r="F14" s="4"/>
    </row>
    <row r="15" spans="1:6" x14ac:dyDescent="0.25">
      <c r="A15" s="34">
        <v>5</v>
      </c>
      <c r="B15" s="35" t="s">
        <v>113</v>
      </c>
      <c r="C15" s="34">
        <v>201603559</v>
      </c>
      <c r="D15" s="34"/>
      <c r="E15" s="34" t="s">
        <v>29</v>
      </c>
      <c r="F15" s="4"/>
    </row>
    <row r="16" spans="1:6" x14ac:dyDescent="0.25">
      <c r="A16" s="34">
        <v>6</v>
      </c>
      <c r="B16" s="35" t="s">
        <v>114</v>
      </c>
      <c r="C16" s="34">
        <v>201505016</v>
      </c>
      <c r="D16" s="34"/>
      <c r="E16" s="34" t="s">
        <v>29</v>
      </c>
      <c r="F16" s="4"/>
    </row>
    <row r="17" spans="1:6" x14ac:dyDescent="0.25">
      <c r="A17" s="32">
        <v>7</v>
      </c>
      <c r="B17" s="35" t="s">
        <v>117</v>
      </c>
      <c r="C17" s="34">
        <v>201401065</v>
      </c>
      <c r="D17" s="34"/>
      <c r="E17" s="34" t="s">
        <v>36</v>
      </c>
      <c r="F17" s="4"/>
    </row>
    <row r="18" spans="1:6" x14ac:dyDescent="0.25">
      <c r="A18" s="34">
        <v>8</v>
      </c>
      <c r="B18" s="35" t="s">
        <v>120</v>
      </c>
      <c r="C18" s="34">
        <v>201508109</v>
      </c>
      <c r="D18" s="34"/>
      <c r="E18" s="34" t="s">
        <v>29</v>
      </c>
      <c r="F18" s="4"/>
    </row>
    <row r="19" spans="1:6" x14ac:dyDescent="0.25">
      <c r="A19" s="34">
        <v>9</v>
      </c>
      <c r="B19" s="35" t="s">
        <v>129</v>
      </c>
      <c r="C19" s="34">
        <v>200908803</v>
      </c>
      <c r="D19" s="34"/>
      <c r="E19" s="34" t="s">
        <v>29</v>
      </c>
      <c r="F19" s="4"/>
    </row>
    <row r="20" spans="1:6" x14ac:dyDescent="0.25">
      <c r="A20" s="32">
        <v>10</v>
      </c>
      <c r="B20" s="35" t="s">
        <v>132</v>
      </c>
      <c r="C20" s="34">
        <v>201604593</v>
      </c>
      <c r="D20" s="34"/>
      <c r="E20" s="34" t="s">
        <v>36</v>
      </c>
      <c r="F20" s="4"/>
    </row>
    <row r="21" spans="1:6" x14ac:dyDescent="0.25">
      <c r="A21" s="34">
        <v>11</v>
      </c>
      <c r="B21" s="35" t="s">
        <v>148</v>
      </c>
      <c r="C21" s="34">
        <v>201600125</v>
      </c>
      <c r="D21" s="34"/>
      <c r="E21" s="34" t="s">
        <v>36</v>
      </c>
      <c r="F21" s="4"/>
    </row>
    <row r="22" spans="1:6" x14ac:dyDescent="0.25">
      <c r="A22" s="34">
        <v>12</v>
      </c>
      <c r="B22" s="35" t="s">
        <v>164</v>
      </c>
      <c r="C22" s="34">
        <v>201512214</v>
      </c>
      <c r="D22" s="34"/>
      <c r="E22" s="34" t="s">
        <v>29</v>
      </c>
      <c r="F22" s="4"/>
    </row>
    <row r="23" spans="1:6" x14ac:dyDescent="0.25">
      <c r="A23" s="32">
        <v>13</v>
      </c>
      <c r="B23" s="35" t="s">
        <v>166</v>
      </c>
      <c r="C23" s="34">
        <v>201600198</v>
      </c>
      <c r="D23" s="34"/>
      <c r="E23" s="34" t="s">
        <v>29</v>
      </c>
      <c r="F23" s="4"/>
    </row>
    <row r="24" spans="1:6" x14ac:dyDescent="0.25">
      <c r="A24" s="34">
        <v>14</v>
      </c>
      <c r="B24" s="35" t="s">
        <v>171</v>
      </c>
      <c r="C24" s="34">
        <v>201300086</v>
      </c>
      <c r="D24" s="34"/>
      <c r="E24" s="34" t="s">
        <v>36</v>
      </c>
      <c r="F24" s="4"/>
    </row>
    <row r="25" spans="1:6" x14ac:dyDescent="0.25">
      <c r="A25" s="34">
        <v>15</v>
      </c>
      <c r="B25" s="35" t="s">
        <v>6</v>
      </c>
      <c r="C25" s="34">
        <v>201407553</v>
      </c>
      <c r="D25" s="34"/>
      <c r="E25" s="34" t="s">
        <v>36</v>
      </c>
      <c r="F25" s="4"/>
    </row>
    <row r="26" spans="1:6" x14ac:dyDescent="0.25">
      <c r="A26" s="32">
        <v>16</v>
      </c>
      <c r="B26" s="35" t="s">
        <v>178</v>
      </c>
      <c r="C26" s="34">
        <v>201110517</v>
      </c>
      <c r="D26" s="34"/>
      <c r="E26" s="34" t="s">
        <v>29</v>
      </c>
    </row>
    <row r="27" spans="1:6" x14ac:dyDescent="0.25">
      <c r="A27" s="3"/>
    </row>
    <row r="28" spans="1:6" x14ac:dyDescent="0.25">
      <c r="A28" s="3"/>
    </row>
    <row r="29" spans="1:6" x14ac:dyDescent="0.25">
      <c r="A29" s="3"/>
    </row>
  </sheetData>
  <sortState ref="A10:E25">
    <sortCondition ref="B10"/>
  </sortState>
  <mergeCells count="3">
    <mergeCell ref="B2:F2"/>
    <mergeCell ref="C6:D6"/>
    <mergeCell ref="C4:E4"/>
  </mergeCells>
  <pageMargins left="0.7" right="0.7" top="0.75" bottom="0.75" header="0.3" footer="0.3"/>
  <pageSetup scale="82" orientation="portrait" horizontalDpi="4294967293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8"/>
  <sheetViews>
    <sheetView view="pageBreakPreview" zoomScale="60" zoomScaleNormal="100" workbookViewId="0">
      <selection activeCell="F5" sqref="F5"/>
    </sheetView>
  </sheetViews>
  <sheetFormatPr baseColWidth="10" defaultRowHeight="15" x14ac:dyDescent="0.25"/>
  <cols>
    <col min="1" max="1" width="4.42578125" customWidth="1"/>
    <col min="2" max="2" width="46.42578125" customWidth="1"/>
    <col min="3" max="3" width="15.140625" customWidth="1"/>
    <col min="5" max="5" width="15.7109375" customWidth="1"/>
    <col min="7" max="7" width="14.5703125" customWidth="1"/>
  </cols>
  <sheetData>
    <row r="1" spans="1:6" x14ac:dyDescent="0.25">
      <c r="A1" s="3"/>
      <c r="F1" s="1"/>
    </row>
    <row r="2" spans="1:6" ht="21" x14ac:dyDescent="0.35">
      <c r="A2" s="3"/>
      <c r="B2" s="47" t="s">
        <v>181</v>
      </c>
      <c r="C2" s="47"/>
      <c r="D2" s="47"/>
      <c r="E2" s="47"/>
      <c r="F2" s="47"/>
    </row>
    <row r="3" spans="1:6" x14ac:dyDescent="0.25">
      <c r="A3" s="3"/>
      <c r="F3" s="1"/>
    </row>
    <row r="4" spans="1:6" ht="18.75" x14ac:dyDescent="0.3">
      <c r="A4" s="3"/>
      <c r="B4" s="37" t="s">
        <v>21</v>
      </c>
      <c r="C4" s="44" t="s">
        <v>39</v>
      </c>
      <c r="D4" s="44"/>
      <c r="F4" s="1"/>
    </row>
    <row r="5" spans="1:6" ht="18.75" x14ac:dyDescent="0.3">
      <c r="A5" s="3"/>
      <c r="B5" s="37" t="s">
        <v>20</v>
      </c>
      <c r="C5" s="38">
        <v>3</v>
      </c>
      <c r="D5" s="39"/>
      <c r="F5" s="8"/>
    </row>
    <row r="6" spans="1:6" ht="18.75" x14ac:dyDescent="0.3">
      <c r="A6" s="3"/>
      <c r="B6" s="37" t="s">
        <v>22</v>
      </c>
      <c r="C6" s="44" t="s">
        <v>186</v>
      </c>
      <c r="D6" s="44"/>
      <c r="F6" s="1"/>
    </row>
    <row r="7" spans="1:6" ht="18.75" x14ac:dyDescent="0.3">
      <c r="A7" s="3"/>
      <c r="B7" s="37" t="s">
        <v>37</v>
      </c>
      <c r="C7" s="38">
        <f>COUNT(A:A)</f>
        <v>16</v>
      </c>
      <c r="D7" s="38"/>
      <c r="F7" s="1"/>
    </row>
    <row r="8" spans="1:6" x14ac:dyDescent="0.25">
      <c r="A8" s="3"/>
      <c r="F8" s="1"/>
    </row>
    <row r="9" spans="1:6" x14ac:dyDescent="0.25">
      <c r="A9" s="36" t="s">
        <v>18</v>
      </c>
      <c r="B9" s="36" t="s">
        <v>15</v>
      </c>
      <c r="C9" s="36" t="s">
        <v>19</v>
      </c>
      <c r="D9" s="36" t="s">
        <v>16</v>
      </c>
      <c r="E9" s="36" t="s">
        <v>17</v>
      </c>
      <c r="F9" s="4"/>
    </row>
    <row r="10" spans="1:6" x14ac:dyDescent="0.25">
      <c r="A10" s="34">
        <v>1</v>
      </c>
      <c r="B10" s="35" t="s">
        <v>40</v>
      </c>
      <c r="C10" s="34">
        <v>201505541</v>
      </c>
      <c r="D10" s="34"/>
      <c r="E10" s="34" t="s">
        <v>36</v>
      </c>
      <c r="F10" s="4"/>
    </row>
    <row r="11" spans="1:6" x14ac:dyDescent="0.25">
      <c r="A11" s="34">
        <v>2</v>
      </c>
      <c r="B11" s="35" t="s">
        <v>78</v>
      </c>
      <c r="C11" s="34">
        <v>201512222</v>
      </c>
      <c r="D11" s="34"/>
      <c r="E11" s="34" t="s">
        <v>29</v>
      </c>
      <c r="F11" s="4"/>
    </row>
    <row r="12" spans="1:6" x14ac:dyDescent="0.25">
      <c r="A12" s="34">
        <v>3</v>
      </c>
      <c r="B12" s="35" t="s">
        <v>81</v>
      </c>
      <c r="C12" s="34">
        <v>201410653</v>
      </c>
      <c r="D12" s="34"/>
      <c r="E12" s="34" t="s">
        <v>29</v>
      </c>
      <c r="F12" s="4"/>
    </row>
    <row r="13" spans="1:6" x14ac:dyDescent="0.25">
      <c r="A13" s="34">
        <v>4</v>
      </c>
      <c r="B13" s="35" t="s">
        <v>96</v>
      </c>
      <c r="C13" s="34">
        <v>201505573</v>
      </c>
      <c r="D13" s="34"/>
      <c r="E13" s="34" t="s">
        <v>29</v>
      </c>
      <c r="F13" s="4"/>
    </row>
    <row r="14" spans="1:6" x14ac:dyDescent="0.25">
      <c r="A14" s="34">
        <v>5</v>
      </c>
      <c r="B14" s="35" t="s">
        <v>103</v>
      </c>
      <c r="C14" s="34">
        <v>201604590</v>
      </c>
      <c r="D14" s="34"/>
      <c r="E14" s="34" t="s">
        <v>36</v>
      </c>
      <c r="F14" s="4"/>
    </row>
    <row r="15" spans="1:6" x14ac:dyDescent="0.25">
      <c r="A15" s="34">
        <v>6</v>
      </c>
      <c r="B15" s="35" t="s">
        <v>131</v>
      </c>
      <c r="C15" s="34">
        <v>201603534</v>
      </c>
      <c r="D15" s="34"/>
      <c r="E15" s="34" t="s">
        <v>29</v>
      </c>
      <c r="F15" s="4"/>
    </row>
    <row r="16" spans="1:6" x14ac:dyDescent="0.25">
      <c r="A16" s="34">
        <v>7</v>
      </c>
      <c r="B16" s="35" t="s">
        <v>138</v>
      </c>
      <c r="C16" s="34">
        <v>201508042</v>
      </c>
      <c r="D16" s="34"/>
      <c r="E16" s="34" t="s">
        <v>29</v>
      </c>
      <c r="F16" s="4"/>
    </row>
    <row r="17" spans="1:6" x14ac:dyDescent="0.25">
      <c r="A17" s="34">
        <v>8</v>
      </c>
      <c r="B17" s="35" t="s">
        <v>141</v>
      </c>
      <c r="C17" s="34">
        <v>201512212</v>
      </c>
      <c r="D17" s="34"/>
      <c r="E17" s="34" t="s">
        <v>29</v>
      </c>
      <c r="F17" s="4"/>
    </row>
    <row r="18" spans="1:6" x14ac:dyDescent="0.25">
      <c r="A18" s="34">
        <v>9</v>
      </c>
      <c r="B18" s="35" t="s">
        <v>142</v>
      </c>
      <c r="C18" s="34">
        <v>200105824</v>
      </c>
      <c r="D18" s="34"/>
      <c r="E18" s="34" t="s">
        <v>36</v>
      </c>
      <c r="F18" s="4"/>
    </row>
    <row r="19" spans="1:6" x14ac:dyDescent="0.25">
      <c r="A19" s="34">
        <v>10</v>
      </c>
      <c r="B19" s="35" t="s">
        <v>143</v>
      </c>
      <c r="C19" s="34">
        <v>200402677</v>
      </c>
      <c r="D19" s="34"/>
      <c r="E19" s="34" t="s">
        <v>29</v>
      </c>
      <c r="F19" s="4"/>
    </row>
    <row r="20" spans="1:6" x14ac:dyDescent="0.25">
      <c r="A20" s="34">
        <v>11</v>
      </c>
      <c r="B20" s="35" t="s">
        <v>146</v>
      </c>
      <c r="C20" s="34">
        <v>201512559</v>
      </c>
      <c r="D20" s="34"/>
      <c r="E20" s="34" t="s">
        <v>36</v>
      </c>
      <c r="F20" s="4"/>
    </row>
    <row r="21" spans="1:6" x14ac:dyDescent="0.25">
      <c r="A21" s="34">
        <v>12</v>
      </c>
      <c r="B21" s="35" t="s">
        <v>151</v>
      </c>
      <c r="C21" s="34">
        <v>201512551</v>
      </c>
      <c r="D21" s="34"/>
      <c r="E21" s="34" t="s">
        <v>36</v>
      </c>
      <c r="F21" s="4"/>
    </row>
    <row r="22" spans="1:6" x14ac:dyDescent="0.25">
      <c r="A22" s="34">
        <v>13</v>
      </c>
      <c r="B22" s="35" t="s">
        <v>159</v>
      </c>
      <c r="C22" s="34">
        <v>201603536</v>
      </c>
      <c r="D22" s="34"/>
      <c r="E22" s="34" t="s">
        <v>29</v>
      </c>
      <c r="F22" s="4"/>
    </row>
    <row r="23" spans="1:6" x14ac:dyDescent="0.25">
      <c r="A23" s="34">
        <v>14</v>
      </c>
      <c r="B23" s="35" t="s">
        <v>161</v>
      </c>
      <c r="C23" s="34">
        <v>201209361</v>
      </c>
      <c r="D23" s="34"/>
      <c r="E23" s="34" t="s">
        <v>36</v>
      </c>
      <c r="F23" s="4"/>
    </row>
    <row r="24" spans="1:6" x14ac:dyDescent="0.25">
      <c r="A24" s="34">
        <v>15</v>
      </c>
      <c r="B24" s="35" t="s">
        <v>165</v>
      </c>
      <c r="C24" s="34">
        <v>201500840</v>
      </c>
      <c r="D24" s="34"/>
      <c r="E24" s="34" t="s">
        <v>29</v>
      </c>
      <c r="F24" s="4"/>
    </row>
    <row r="25" spans="1:6" x14ac:dyDescent="0.25">
      <c r="A25" s="34">
        <v>16</v>
      </c>
      <c r="B25" s="33" t="s">
        <v>166</v>
      </c>
      <c r="C25" s="32">
        <v>201600198</v>
      </c>
      <c r="D25" s="32"/>
      <c r="E25" s="32" t="s">
        <v>29</v>
      </c>
    </row>
    <row r="26" spans="1:6" x14ac:dyDescent="0.25">
      <c r="A26" s="3"/>
    </row>
    <row r="27" spans="1:6" x14ac:dyDescent="0.25">
      <c r="A27" s="3"/>
    </row>
    <row r="28" spans="1:6" x14ac:dyDescent="0.25">
      <c r="A28" s="3"/>
    </row>
  </sheetData>
  <sortState ref="A10:E25">
    <sortCondition ref="B10"/>
  </sortState>
  <mergeCells count="3">
    <mergeCell ref="B2:F2"/>
    <mergeCell ref="C4:D4"/>
    <mergeCell ref="C6:D6"/>
  </mergeCells>
  <pageMargins left="0.7" right="0.7" top="0.75" bottom="0.75" header="0.3" footer="0.3"/>
  <pageSetup paperSize="9" scale="84" orientation="portrait" horizontalDpi="4294967293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32"/>
  <sheetViews>
    <sheetView view="pageBreakPreview" zoomScale="60" zoomScaleNormal="100" workbookViewId="0">
      <selection activeCell="E4" sqref="E4"/>
    </sheetView>
  </sheetViews>
  <sheetFormatPr baseColWidth="10" defaultRowHeight="15" x14ac:dyDescent="0.25"/>
  <cols>
    <col min="1" max="1" width="4.42578125" customWidth="1"/>
    <col min="2" max="2" width="52.140625" customWidth="1"/>
    <col min="3" max="3" width="15.140625" customWidth="1"/>
    <col min="5" max="5" width="16.42578125" customWidth="1"/>
    <col min="7" max="7" width="13.42578125" customWidth="1"/>
  </cols>
  <sheetData>
    <row r="1" spans="1:6" x14ac:dyDescent="0.25">
      <c r="A1" s="3"/>
      <c r="F1" s="1"/>
    </row>
    <row r="2" spans="1:6" ht="23.25" x14ac:dyDescent="0.35">
      <c r="A2" s="3"/>
      <c r="B2" s="46" t="s">
        <v>181</v>
      </c>
      <c r="C2" s="46"/>
      <c r="D2" s="46"/>
      <c r="E2" s="46"/>
      <c r="F2" s="46"/>
    </row>
    <row r="3" spans="1:6" x14ac:dyDescent="0.25">
      <c r="A3" s="3"/>
      <c r="F3" s="1"/>
    </row>
    <row r="4" spans="1:6" ht="18.75" x14ac:dyDescent="0.3">
      <c r="A4" s="3"/>
      <c r="B4" s="37" t="s">
        <v>21</v>
      </c>
      <c r="C4" s="44" t="s">
        <v>39</v>
      </c>
      <c r="D4" s="44"/>
      <c r="F4" s="1"/>
    </row>
    <row r="5" spans="1:6" ht="18.75" x14ac:dyDescent="0.3">
      <c r="A5" s="3"/>
      <c r="B5" s="37" t="s">
        <v>20</v>
      </c>
      <c r="C5" s="38">
        <v>4</v>
      </c>
      <c r="D5" s="39"/>
      <c r="F5" s="8"/>
    </row>
    <row r="6" spans="1:6" ht="18.75" x14ac:dyDescent="0.3">
      <c r="A6" s="3"/>
      <c r="B6" s="37" t="s">
        <v>22</v>
      </c>
      <c r="C6" s="44" t="s">
        <v>184</v>
      </c>
      <c r="D6" s="44"/>
      <c r="F6" s="1"/>
    </row>
    <row r="7" spans="1:6" ht="18.75" x14ac:dyDescent="0.3">
      <c r="A7" s="3"/>
      <c r="B7" s="37" t="s">
        <v>37</v>
      </c>
      <c r="C7" s="38">
        <f>COUNT(A:A)</f>
        <v>23</v>
      </c>
      <c r="D7" s="38"/>
      <c r="F7" s="1"/>
    </row>
    <row r="8" spans="1:6" x14ac:dyDescent="0.25">
      <c r="A8" s="3"/>
      <c r="F8" s="1"/>
    </row>
    <row r="9" spans="1:6" x14ac:dyDescent="0.25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5">
      <c r="A10" s="32">
        <v>1</v>
      </c>
      <c r="B10" s="33" t="s">
        <v>7</v>
      </c>
      <c r="C10" s="32">
        <f>LOOKUP(B10,'LISTA ALUMNOS'!C:C,'LISTA ALUMNOS'!B:B)</f>
        <v>201201153</v>
      </c>
      <c r="D10" s="32"/>
      <c r="E10" s="32" t="s">
        <v>29</v>
      </c>
      <c r="F10" s="4"/>
    </row>
    <row r="11" spans="1:6" x14ac:dyDescent="0.25">
      <c r="A11" s="34">
        <v>2</v>
      </c>
      <c r="B11" s="35" t="s">
        <v>57</v>
      </c>
      <c r="C11" s="32">
        <f>LOOKUP(B11,'LISTA ALUMNOS'!C:C,'LISTA ALUMNOS'!B:B)</f>
        <v>201309820</v>
      </c>
      <c r="D11" s="34"/>
      <c r="E11" s="34" t="s">
        <v>36</v>
      </c>
      <c r="F11" s="4"/>
    </row>
    <row r="12" spans="1:6" x14ac:dyDescent="0.25">
      <c r="A12" s="34">
        <v>3</v>
      </c>
      <c r="B12" s="35" t="s">
        <v>58</v>
      </c>
      <c r="C12" s="32">
        <f>LOOKUP(B12,'LISTA ALUMNOS'!C:C,'LISTA ALUMNOS'!B:B)</f>
        <v>201209054</v>
      </c>
      <c r="D12" s="34"/>
      <c r="E12" s="34" t="s">
        <v>29</v>
      </c>
      <c r="F12" s="4"/>
    </row>
    <row r="13" spans="1:6" x14ac:dyDescent="0.25">
      <c r="A13" s="32">
        <v>4</v>
      </c>
      <c r="B13" s="35" t="s">
        <v>59</v>
      </c>
      <c r="C13" s="32">
        <f>LOOKUP(B13,'LISTA ALUMNOS'!C:C,'LISTA ALUMNOS'!B:B)</f>
        <v>201300074</v>
      </c>
      <c r="D13" s="34"/>
      <c r="E13" s="34" t="s">
        <v>36</v>
      </c>
      <c r="F13" s="4"/>
    </row>
    <row r="14" spans="1:6" x14ac:dyDescent="0.25">
      <c r="A14" s="34">
        <v>5</v>
      </c>
      <c r="B14" s="35" t="s">
        <v>64</v>
      </c>
      <c r="C14" s="32">
        <f>LOOKUP(B14,'LISTA ALUMNOS'!C:C,'LISTA ALUMNOS'!B:B)</f>
        <v>201502316</v>
      </c>
      <c r="D14" s="34"/>
      <c r="E14" s="34" t="s">
        <v>36</v>
      </c>
      <c r="F14" s="4"/>
    </row>
    <row r="15" spans="1:6" x14ac:dyDescent="0.25">
      <c r="A15" s="34">
        <v>6</v>
      </c>
      <c r="B15" s="35" t="s">
        <v>80</v>
      </c>
      <c r="C15" s="32">
        <f>LOOKUP(B15,'LISTA ALUMNOS'!C:C,'LISTA ALUMNOS'!B:B)</f>
        <v>201508108</v>
      </c>
      <c r="D15" s="34"/>
      <c r="E15" s="34" t="s">
        <v>36</v>
      </c>
      <c r="F15" s="4"/>
    </row>
    <row r="16" spans="1:6" x14ac:dyDescent="0.25">
      <c r="A16" s="32">
        <v>7</v>
      </c>
      <c r="B16" s="35" t="s">
        <v>41</v>
      </c>
      <c r="C16" s="32">
        <f>LOOKUP(B16,'LISTA ALUMNOS'!C:C,'LISTA ALUMNOS'!B:B)</f>
        <v>201607854</v>
      </c>
      <c r="D16" s="34"/>
      <c r="E16" s="34" t="s">
        <v>29</v>
      </c>
      <c r="F16" s="4"/>
    </row>
    <row r="17" spans="1:6" x14ac:dyDescent="0.25">
      <c r="A17" s="34">
        <v>8</v>
      </c>
      <c r="B17" s="35" t="s">
        <v>89</v>
      </c>
      <c r="C17" s="32">
        <f>LOOKUP(B17,'LISTA ALUMNOS'!C:C,'LISTA ALUMNOS'!B:B)</f>
        <v>201505686</v>
      </c>
      <c r="D17" s="34"/>
      <c r="E17" s="34" t="s">
        <v>36</v>
      </c>
      <c r="F17" s="4"/>
    </row>
    <row r="18" spans="1:6" x14ac:dyDescent="0.25">
      <c r="A18" s="34">
        <v>9</v>
      </c>
      <c r="B18" s="35" t="s">
        <v>2</v>
      </c>
      <c r="C18" s="32">
        <f>LOOKUP(B18,'LISTA ALUMNOS'!C:C,'LISTA ALUMNOS'!B:B)</f>
        <v>200507363</v>
      </c>
      <c r="D18" s="34"/>
      <c r="E18" s="34" t="s">
        <v>29</v>
      </c>
      <c r="F18" s="4"/>
    </row>
    <row r="19" spans="1:6" x14ac:dyDescent="0.25">
      <c r="A19" s="32">
        <v>10</v>
      </c>
      <c r="B19" s="35" t="s">
        <v>8</v>
      </c>
      <c r="C19" s="32">
        <f>LOOKUP(B19,'LISTA ALUMNOS'!C:C,'LISTA ALUMNOS'!B:B)</f>
        <v>201508042</v>
      </c>
      <c r="D19" s="34"/>
      <c r="E19" s="34" t="s">
        <v>29</v>
      </c>
      <c r="F19" s="4"/>
    </row>
    <row r="20" spans="1:6" x14ac:dyDescent="0.25">
      <c r="A20" s="34">
        <v>11</v>
      </c>
      <c r="B20" s="35" t="s">
        <v>95</v>
      </c>
      <c r="C20" s="32">
        <f>LOOKUP(B20,'LISTA ALUMNOS'!C:C,'LISTA ALUMNOS'!B:B)</f>
        <v>200402677</v>
      </c>
      <c r="D20" s="34"/>
      <c r="E20" s="34" t="s">
        <v>36</v>
      </c>
      <c r="F20" s="4"/>
    </row>
    <row r="21" spans="1:6" x14ac:dyDescent="0.25">
      <c r="A21" s="34">
        <v>12</v>
      </c>
      <c r="B21" s="35" t="s">
        <v>100</v>
      </c>
      <c r="C21" s="32">
        <f>LOOKUP(B21,'LISTA ALUMNOS'!C:C,'LISTA ALUMNOS'!B:B)</f>
        <v>201401033</v>
      </c>
      <c r="D21" s="34"/>
      <c r="E21" s="34" t="s">
        <v>36</v>
      </c>
      <c r="F21" s="4"/>
    </row>
    <row r="22" spans="1:6" x14ac:dyDescent="0.25">
      <c r="A22" s="32">
        <v>13</v>
      </c>
      <c r="B22" s="35" t="s">
        <v>104</v>
      </c>
      <c r="C22" s="32">
        <f>LOOKUP(B22,'LISTA ALUMNOS'!C:C,'LISTA ALUMNOS'!B:B)</f>
        <v>201410826</v>
      </c>
      <c r="D22" s="34"/>
      <c r="E22" s="34" t="s">
        <v>29</v>
      </c>
      <c r="F22" s="4"/>
    </row>
    <row r="23" spans="1:6" x14ac:dyDescent="0.25">
      <c r="A23" s="34">
        <v>14</v>
      </c>
      <c r="B23" s="35" t="s">
        <v>115</v>
      </c>
      <c r="C23" s="32">
        <f>LOOKUP(B23,'LISTA ALUMNOS'!C:C,'LISTA ALUMNOS'!B:B)</f>
        <v>199801234</v>
      </c>
      <c r="D23" s="34"/>
      <c r="E23" s="34" t="s">
        <v>36</v>
      </c>
      <c r="F23" s="4"/>
    </row>
    <row r="24" spans="1:6" x14ac:dyDescent="0.25">
      <c r="A24" s="34">
        <v>15</v>
      </c>
      <c r="B24" s="35" t="s">
        <v>121</v>
      </c>
      <c r="C24" s="32">
        <f>LOOKUP(B24,'LISTA ALUMNOS'!C:C,'LISTA ALUMNOS'!B:B)</f>
        <v>201100210</v>
      </c>
      <c r="D24" s="34"/>
      <c r="E24" s="34" t="s">
        <v>29</v>
      </c>
      <c r="F24" s="4"/>
    </row>
    <row r="25" spans="1:6" x14ac:dyDescent="0.25">
      <c r="A25" s="32">
        <v>16</v>
      </c>
      <c r="B25" s="35" t="s">
        <v>9</v>
      </c>
      <c r="C25" s="32">
        <f>LOOKUP(B25,'LISTA ALUMNOS'!C:C,'LISTA ALUMNOS'!B:B)</f>
        <v>200901162</v>
      </c>
      <c r="D25" s="34"/>
      <c r="E25" s="34" t="s">
        <v>29</v>
      </c>
      <c r="F25" s="4"/>
    </row>
    <row r="26" spans="1:6" x14ac:dyDescent="0.25">
      <c r="A26" s="34">
        <v>17</v>
      </c>
      <c r="B26" s="35" t="s">
        <v>140</v>
      </c>
      <c r="C26" s="32">
        <f>LOOKUP(B26,'LISTA ALUMNOS'!C:C,'LISTA ALUMNOS'!B:B)</f>
        <v>201508455</v>
      </c>
      <c r="D26" s="34"/>
      <c r="E26" s="34" t="s">
        <v>36</v>
      </c>
      <c r="F26" s="4"/>
    </row>
    <row r="27" spans="1:6" x14ac:dyDescent="0.25">
      <c r="A27" s="34">
        <v>18</v>
      </c>
      <c r="B27" s="35" t="s">
        <v>144</v>
      </c>
      <c r="C27" s="32">
        <f>LOOKUP(B27,'LISTA ALUMNOS'!C:C,'LISTA ALUMNOS'!B:B)</f>
        <v>201604590</v>
      </c>
      <c r="D27" s="34"/>
      <c r="E27" s="34" t="s">
        <v>36</v>
      </c>
      <c r="F27" s="4"/>
    </row>
    <row r="28" spans="1:6" x14ac:dyDescent="0.25">
      <c r="A28" s="32">
        <v>19</v>
      </c>
      <c r="B28" s="35" t="s">
        <v>147</v>
      </c>
      <c r="C28" s="32">
        <f>LOOKUP(B28,'LISTA ALUMNOS'!C:C,'LISTA ALUMNOS'!B:B)</f>
        <v>201308678</v>
      </c>
      <c r="D28" s="34"/>
      <c r="E28" s="34" t="s">
        <v>29</v>
      </c>
      <c r="F28" s="4"/>
    </row>
    <row r="29" spans="1:6" x14ac:dyDescent="0.25">
      <c r="A29" s="34">
        <v>20</v>
      </c>
      <c r="B29" s="35" t="s">
        <v>158</v>
      </c>
      <c r="C29" s="32">
        <f>LOOKUP(B29,'LISTA ALUMNOS'!C:C,'LISTA ALUMNOS'!B:B)</f>
        <v>201001346</v>
      </c>
      <c r="D29" s="34"/>
      <c r="E29" s="34" t="s">
        <v>29</v>
      </c>
      <c r="F29" s="4"/>
    </row>
    <row r="30" spans="1:6" x14ac:dyDescent="0.25">
      <c r="A30" s="34">
        <v>21</v>
      </c>
      <c r="B30" s="35" t="s">
        <v>163</v>
      </c>
      <c r="C30" s="32">
        <f>LOOKUP(B30,'LISTA ALUMNOS'!C:C,'LISTA ALUMNOS'!B:B)</f>
        <v>201508112</v>
      </c>
      <c r="D30" s="34"/>
      <c r="E30" s="34" t="s">
        <v>29</v>
      </c>
      <c r="F30" s="4"/>
    </row>
    <row r="31" spans="1:6" x14ac:dyDescent="0.25">
      <c r="A31" s="32">
        <v>22</v>
      </c>
      <c r="B31" s="35" t="s">
        <v>173</v>
      </c>
      <c r="C31" s="32">
        <f>LOOKUP(B31,'LISTA ALUMNOS'!C:C,'LISTA ALUMNOS'!B:B)</f>
        <v>201508465</v>
      </c>
      <c r="D31" s="34"/>
      <c r="E31" s="34" t="s">
        <v>29</v>
      </c>
      <c r="F31" s="4"/>
    </row>
    <row r="32" spans="1:6" x14ac:dyDescent="0.25">
      <c r="A32" s="34">
        <v>23</v>
      </c>
      <c r="B32" s="35" t="s">
        <v>174</v>
      </c>
      <c r="C32" s="32">
        <f>LOOKUP(B32,'LISTA ALUMNOS'!C:C,'LISTA ALUMNOS'!B:B)</f>
        <v>201410827</v>
      </c>
      <c r="D32" s="34"/>
      <c r="E32" s="34" t="s">
        <v>29</v>
      </c>
      <c r="F32" s="4"/>
    </row>
  </sheetData>
  <sortState ref="A10:E32">
    <sortCondition ref="B10"/>
  </sortState>
  <mergeCells count="3">
    <mergeCell ref="B2:F2"/>
    <mergeCell ref="C4:D4"/>
    <mergeCell ref="C6:D6"/>
  </mergeCells>
  <pageMargins left="0.7" right="0.7" top="0.75" bottom="0.75" header="0.3" footer="0.3"/>
  <pageSetup scale="79" orientation="portrait" horizontalDpi="4294967292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32"/>
  <sheetViews>
    <sheetView view="pageBreakPreview" zoomScale="60" zoomScaleNormal="100" workbookViewId="0">
      <selection activeCell="C4" sqref="C4:E4"/>
    </sheetView>
  </sheetViews>
  <sheetFormatPr baseColWidth="10" defaultRowHeight="15" x14ac:dyDescent="0.25"/>
  <cols>
    <col min="1" max="1" width="4.42578125" customWidth="1"/>
    <col min="2" max="2" width="49.28515625" customWidth="1"/>
    <col min="3" max="3" width="15.140625" customWidth="1"/>
    <col min="5" max="5" width="15.140625" customWidth="1"/>
    <col min="7" max="7" width="13.42578125" customWidth="1"/>
  </cols>
  <sheetData>
    <row r="1" spans="1:6" x14ac:dyDescent="0.25">
      <c r="A1" s="3"/>
      <c r="F1" s="1"/>
    </row>
    <row r="2" spans="1:6" ht="23.25" x14ac:dyDescent="0.35">
      <c r="A2" s="3"/>
      <c r="B2" s="46" t="s">
        <v>181</v>
      </c>
      <c r="C2" s="46"/>
      <c r="D2" s="46"/>
      <c r="E2" s="46"/>
      <c r="F2" s="46"/>
    </row>
    <row r="3" spans="1:6" x14ac:dyDescent="0.25">
      <c r="A3" s="3"/>
      <c r="F3" s="1"/>
    </row>
    <row r="4" spans="1:6" ht="18.75" x14ac:dyDescent="0.3">
      <c r="A4" s="3"/>
      <c r="B4" s="37" t="s">
        <v>21</v>
      </c>
      <c r="C4" s="44" t="s">
        <v>38</v>
      </c>
      <c r="D4" s="44"/>
      <c r="E4" s="44"/>
      <c r="F4" s="1"/>
    </row>
    <row r="5" spans="1:6" ht="18.75" x14ac:dyDescent="0.3">
      <c r="A5" s="3"/>
      <c r="B5" s="37" t="s">
        <v>20</v>
      </c>
      <c r="C5" s="38">
        <v>5</v>
      </c>
      <c r="D5" s="39"/>
      <c r="F5" s="8"/>
    </row>
    <row r="6" spans="1:6" ht="18.75" x14ac:dyDescent="0.3">
      <c r="A6" s="3"/>
      <c r="B6" s="37" t="s">
        <v>22</v>
      </c>
      <c r="C6" s="44" t="s">
        <v>183</v>
      </c>
      <c r="D6" s="44"/>
      <c r="F6" s="1"/>
    </row>
    <row r="7" spans="1:6" ht="18.75" x14ac:dyDescent="0.3">
      <c r="A7" s="3"/>
      <c r="B7" s="37" t="s">
        <v>37</v>
      </c>
      <c r="C7" s="38">
        <f>COUNT(A:A)</f>
        <v>15</v>
      </c>
      <c r="D7" s="38"/>
      <c r="F7" s="1"/>
    </row>
    <row r="8" spans="1:6" x14ac:dyDescent="0.25">
      <c r="A8" s="3"/>
      <c r="F8" s="1"/>
    </row>
    <row r="9" spans="1:6" x14ac:dyDescent="0.25">
      <c r="A9" s="36" t="s">
        <v>18</v>
      </c>
      <c r="B9" s="36" t="s">
        <v>15</v>
      </c>
      <c r="C9" s="36" t="s">
        <v>19</v>
      </c>
      <c r="D9" s="36" t="s">
        <v>16</v>
      </c>
      <c r="E9" s="36" t="s">
        <v>17</v>
      </c>
      <c r="F9" s="4"/>
    </row>
    <row r="10" spans="1:6" x14ac:dyDescent="0.25">
      <c r="A10" s="34">
        <v>1</v>
      </c>
      <c r="B10" s="35" t="s">
        <v>51</v>
      </c>
      <c r="C10" s="34">
        <v>201409417</v>
      </c>
      <c r="D10" s="34"/>
      <c r="E10" s="34" t="s">
        <v>36</v>
      </c>
      <c r="F10" s="4"/>
    </row>
    <row r="11" spans="1:6" x14ac:dyDescent="0.25">
      <c r="A11" s="34">
        <v>2</v>
      </c>
      <c r="B11" s="35" t="s">
        <v>55</v>
      </c>
      <c r="C11" s="34">
        <v>201505535</v>
      </c>
      <c r="D11" s="34"/>
      <c r="E11" s="34" t="s">
        <v>36</v>
      </c>
      <c r="F11" s="4"/>
    </row>
    <row r="12" spans="1:6" x14ac:dyDescent="0.25">
      <c r="A12" s="34">
        <v>3</v>
      </c>
      <c r="B12" s="35" t="s">
        <v>65</v>
      </c>
      <c r="C12" s="34">
        <v>201603522</v>
      </c>
      <c r="D12" s="34"/>
      <c r="E12" s="34" t="s">
        <v>29</v>
      </c>
      <c r="F12" s="4"/>
    </row>
    <row r="13" spans="1:6" x14ac:dyDescent="0.25">
      <c r="A13" s="34">
        <v>4</v>
      </c>
      <c r="B13" s="35" t="s">
        <v>76</v>
      </c>
      <c r="C13" s="34">
        <v>201101593</v>
      </c>
      <c r="D13" s="34"/>
      <c r="E13" s="34" t="s">
        <v>36</v>
      </c>
      <c r="F13" s="4"/>
    </row>
    <row r="14" spans="1:6" x14ac:dyDescent="0.25">
      <c r="A14" s="34">
        <v>5</v>
      </c>
      <c r="B14" s="35" t="s">
        <v>83</v>
      </c>
      <c r="C14" s="34">
        <v>201400117</v>
      </c>
      <c r="D14" s="34"/>
      <c r="E14" s="34" t="s">
        <v>29</v>
      </c>
      <c r="F14" s="4"/>
    </row>
    <row r="15" spans="1:6" x14ac:dyDescent="0.25">
      <c r="A15" s="34">
        <v>6</v>
      </c>
      <c r="B15" s="35" t="s">
        <v>88</v>
      </c>
      <c r="C15" s="34">
        <v>201512209</v>
      </c>
      <c r="D15" s="34"/>
      <c r="E15" s="34" t="s">
        <v>29</v>
      </c>
      <c r="F15" s="4"/>
    </row>
    <row r="16" spans="1:6" x14ac:dyDescent="0.25">
      <c r="A16" s="34">
        <v>7</v>
      </c>
      <c r="B16" s="35" t="s">
        <v>42</v>
      </c>
      <c r="C16" s="34">
        <v>200501713</v>
      </c>
      <c r="D16" s="34"/>
      <c r="E16" s="34" t="s">
        <v>29</v>
      </c>
      <c r="F16" s="4"/>
    </row>
    <row r="17" spans="1:6" x14ac:dyDescent="0.25">
      <c r="A17" s="34">
        <v>8</v>
      </c>
      <c r="B17" s="35" t="s">
        <v>97</v>
      </c>
      <c r="C17" s="34">
        <v>201508457</v>
      </c>
      <c r="D17" s="34"/>
      <c r="E17" s="34" t="s">
        <v>36</v>
      </c>
      <c r="F17" s="4"/>
    </row>
    <row r="18" spans="1:6" x14ac:dyDescent="0.25">
      <c r="A18" s="34">
        <v>9</v>
      </c>
      <c r="B18" s="35" t="s">
        <v>102</v>
      </c>
      <c r="C18" s="34">
        <v>201604589</v>
      </c>
      <c r="D18" s="34"/>
      <c r="E18" s="34" t="s">
        <v>36</v>
      </c>
      <c r="F18" s="4"/>
    </row>
    <row r="19" spans="1:6" x14ac:dyDescent="0.25">
      <c r="A19" s="34">
        <v>10</v>
      </c>
      <c r="B19" s="35" t="s">
        <v>116</v>
      </c>
      <c r="C19" s="34">
        <v>201512549</v>
      </c>
      <c r="D19" s="34"/>
      <c r="E19" s="34" t="s">
        <v>36</v>
      </c>
      <c r="F19" s="4"/>
    </row>
    <row r="20" spans="1:6" x14ac:dyDescent="0.25">
      <c r="A20" s="34">
        <v>11</v>
      </c>
      <c r="B20" s="35" t="s">
        <v>130</v>
      </c>
      <c r="C20" s="34">
        <v>201606425</v>
      </c>
      <c r="D20" s="34"/>
      <c r="E20" s="34" t="s">
        <v>29</v>
      </c>
      <c r="F20" s="4"/>
    </row>
    <row r="21" spans="1:6" x14ac:dyDescent="0.25">
      <c r="A21" s="34">
        <v>12</v>
      </c>
      <c r="B21" s="35" t="s">
        <v>137</v>
      </c>
      <c r="C21" s="34">
        <v>201603535</v>
      </c>
      <c r="D21" s="34"/>
      <c r="E21" s="34" t="s">
        <v>29</v>
      </c>
      <c r="F21" s="4"/>
    </row>
    <row r="22" spans="1:6" x14ac:dyDescent="0.25">
      <c r="A22" s="34">
        <v>13</v>
      </c>
      <c r="B22" s="35" t="s">
        <v>145</v>
      </c>
      <c r="C22" s="34">
        <v>201603568</v>
      </c>
      <c r="D22" s="34"/>
      <c r="E22" s="34" t="s">
        <v>29</v>
      </c>
      <c r="F22" s="4"/>
    </row>
    <row r="23" spans="1:6" x14ac:dyDescent="0.25">
      <c r="A23" s="34">
        <v>14</v>
      </c>
      <c r="B23" s="35" t="s">
        <v>152</v>
      </c>
      <c r="C23" s="34">
        <v>200801715</v>
      </c>
      <c r="D23" s="34"/>
      <c r="E23" s="34" t="s">
        <v>36</v>
      </c>
      <c r="F23" s="4"/>
    </row>
    <row r="24" spans="1:6" x14ac:dyDescent="0.25">
      <c r="A24" s="34">
        <v>15</v>
      </c>
      <c r="B24" s="35" t="s">
        <v>162</v>
      </c>
      <c r="C24" s="34">
        <v>201512213</v>
      </c>
      <c r="D24" s="34"/>
      <c r="E24" s="34" t="s">
        <v>29</v>
      </c>
      <c r="F24" s="4"/>
    </row>
    <row r="25" spans="1:6" x14ac:dyDescent="0.25">
      <c r="A25" s="3"/>
    </row>
    <row r="26" spans="1:6" x14ac:dyDescent="0.25">
      <c r="A26" s="3"/>
    </row>
    <row r="27" spans="1:6" x14ac:dyDescent="0.25">
      <c r="A27" s="3"/>
    </row>
    <row r="28" spans="1:6" x14ac:dyDescent="0.25">
      <c r="A28" s="3"/>
    </row>
    <row r="29" spans="1:6" x14ac:dyDescent="0.25">
      <c r="A29" s="3"/>
    </row>
    <row r="30" spans="1:6" x14ac:dyDescent="0.25">
      <c r="A30" s="3"/>
    </row>
    <row r="31" spans="1:6" x14ac:dyDescent="0.25">
      <c r="A31" s="3"/>
    </row>
    <row r="32" spans="1:6" x14ac:dyDescent="0.25">
      <c r="A32" s="3"/>
    </row>
  </sheetData>
  <sortState ref="A10:E24">
    <sortCondition ref="B10"/>
  </sortState>
  <mergeCells count="3">
    <mergeCell ref="B2:F2"/>
    <mergeCell ref="C6:D6"/>
    <mergeCell ref="C4:E4"/>
  </mergeCells>
  <conditionalFormatting sqref="G3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{5D631656-D966-40B5-BB5F-3AA56FB63A23}</x14:id>
        </ext>
      </extLst>
    </cfRule>
  </conditionalFormatting>
  <pageMargins left="0.7" right="0.7" top="0.75" bottom="0.75" header="0.3" footer="0.3"/>
  <pageSetup paperSize="9" scale="8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631656-D966-40B5-BB5F-3AA56FB63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25"/>
  <sheetViews>
    <sheetView view="pageBreakPreview" zoomScale="60" zoomScaleNormal="100" workbookViewId="0">
      <selection activeCell="E3" sqref="E3"/>
    </sheetView>
  </sheetViews>
  <sheetFormatPr baseColWidth="10" defaultRowHeight="15" x14ac:dyDescent="0.25"/>
  <cols>
    <col min="1" max="1" width="4.42578125" customWidth="1"/>
    <col min="2" max="2" width="52" customWidth="1"/>
    <col min="3" max="3" width="15.140625" customWidth="1"/>
    <col min="5" max="5" width="14.140625" customWidth="1"/>
    <col min="7" max="7" width="12.85546875" customWidth="1"/>
  </cols>
  <sheetData>
    <row r="1" spans="1:6" x14ac:dyDescent="0.25">
      <c r="A1" s="3"/>
      <c r="F1" s="1"/>
    </row>
    <row r="2" spans="1:6" ht="23.25" x14ac:dyDescent="0.35">
      <c r="A2" s="3"/>
      <c r="B2" s="46" t="s">
        <v>181</v>
      </c>
      <c r="C2" s="46"/>
      <c r="D2" s="46"/>
      <c r="E2" s="46"/>
      <c r="F2" s="46"/>
    </row>
    <row r="3" spans="1:6" x14ac:dyDescent="0.25">
      <c r="A3" s="3"/>
      <c r="F3" s="1"/>
    </row>
    <row r="4" spans="1:6" ht="18.75" x14ac:dyDescent="0.3">
      <c r="A4" s="3"/>
      <c r="B4" s="37" t="s">
        <v>21</v>
      </c>
      <c r="C4" s="44" t="s">
        <v>187</v>
      </c>
      <c r="D4" s="44"/>
      <c r="E4" s="44"/>
      <c r="F4" s="1"/>
    </row>
    <row r="5" spans="1:6" ht="18.75" x14ac:dyDescent="0.3">
      <c r="A5" s="3"/>
      <c r="B5" s="37" t="s">
        <v>20</v>
      </c>
      <c r="C5" s="38">
        <v>7</v>
      </c>
      <c r="D5" s="39"/>
      <c r="F5" s="8"/>
    </row>
    <row r="6" spans="1:6" ht="18.75" x14ac:dyDescent="0.3">
      <c r="A6" s="3"/>
      <c r="B6" s="37" t="s">
        <v>22</v>
      </c>
      <c r="C6" s="44" t="s">
        <v>188</v>
      </c>
      <c r="D6" s="44"/>
      <c r="F6" s="1"/>
    </row>
    <row r="7" spans="1:6" ht="18.75" x14ac:dyDescent="0.3">
      <c r="A7" s="3"/>
      <c r="B7" s="37" t="s">
        <v>37</v>
      </c>
      <c r="C7" s="38">
        <f>COUNT(A:A)</f>
        <v>16</v>
      </c>
      <c r="D7" s="38"/>
      <c r="F7" s="1"/>
    </row>
    <row r="8" spans="1:6" x14ac:dyDescent="0.25">
      <c r="A8" s="3"/>
      <c r="F8" s="1"/>
    </row>
    <row r="9" spans="1:6" x14ac:dyDescent="0.25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5">
      <c r="A10" s="32">
        <v>1</v>
      </c>
      <c r="B10" s="33" t="s">
        <v>49</v>
      </c>
      <c r="C10" s="32">
        <v>201603519</v>
      </c>
      <c r="D10" s="32"/>
      <c r="E10" s="32" t="s">
        <v>29</v>
      </c>
      <c r="F10" s="4"/>
    </row>
    <row r="11" spans="1:6" x14ac:dyDescent="0.25">
      <c r="A11" s="34">
        <v>2</v>
      </c>
      <c r="B11" s="35" t="s">
        <v>53</v>
      </c>
      <c r="C11" s="34">
        <v>201603520</v>
      </c>
      <c r="D11" s="34"/>
      <c r="E11" s="34" t="s">
        <v>29</v>
      </c>
      <c r="F11" s="4"/>
    </row>
    <row r="12" spans="1:6" x14ac:dyDescent="0.25">
      <c r="A12" s="34">
        <v>3</v>
      </c>
      <c r="B12" s="35" t="s">
        <v>54</v>
      </c>
      <c r="C12" s="34">
        <v>201408073</v>
      </c>
      <c r="D12" s="34"/>
      <c r="E12" s="34" t="s">
        <v>29</v>
      </c>
      <c r="F12" s="4"/>
    </row>
    <row r="13" spans="1:6" x14ac:dyDescent="0.25">
      <c r="A13" s="32">
        <v>4</v>
      </c>
      <c r="B13" s="35" t="s">
        <v>56</v>
      </c>
      <c r="C13" s="34">
        <v>201606419</v>
      </c>
      <c r="D13" s="34"/>
      <c r="E13" s="34" t="s">
        <v>29</v>
      </c>
      <c r="F13" s="4"/>
    </row>
    <row r="14" spans="1:6" x14ac:dyDescent="0.25">
      <c r="A14" s="34">
        <v>5</v>
      </c>
      <c r="B14" s="35" t="s">
        <v>68</v>
      </c>
      <c r="C14" s="34">
        <v>201201153</v>
      </c>
      <c r="D14" s="34"/>
      <c r="E14" s="34" t="s">
        <v>36</v>
      </c>
      <c r="F14" s="4"/>
    </row>
    <row r="15" spans="1:6" x14ac:dyDescent="0.25">
      <c r="A15" s="34">
        <v>6</v>
      </c>
      <c r="B15" s="35" t="s">
        <v>70</v>
      </c>
      <c r="C15" s="34">
        <v>201603526</v>
      </c>
      <c r="D15" s="34"/>
      <c r="E15" s="34" t="s">
        <v>29</v>
      </c>
      <c r="F15" s="4"/>
    </row>
    <row r="16" spans="1:6" x14ac:dyDescent="0.25">
      <c r="A16" s="32">
        <v>7</v>
      </c>
      <c r="B16" s="35" t="s">
        <v>79</v>
      </c>
      <c r="C16" s="34">
        <v>201512223</v>
      </c>
      <c r="D16" s="34"/>
      <c r="E16" s="34" t="s">
        <v>29</v>
      </c>
      <c r="F16" s="4"/>
    </row>
    <row r="17" spans="1:6" x14ac:dyDescent="0.25">
      <c r="A17" s="34">
        <v>8</v>
      </c>
      <c r="B17" s="35" t="s">
        <v>91</v>
      </c>
      <c r="C17" s="34">
        <v>201001226</v>
      </c>
      <c r="D17" s="34"/>
      <c r="E17" s="34" t="s">
        <v>29</v>
      </c>
      <c r="F17" s="4"/>
    </row>
    <row r="18" spans="1:6" x14ac:dyDescent="0.25">
      <c r="A18" s="34">
        <v>9</v>
      </c>
      <c r="B18" s="35" t="s">
        <v>99</v>
      </c>
      <c r="C18" s="34">
        <v>201001343</v>
      </c>
      <c r="D18" s="34"/>
      <c r="E18" s="34" t="s">
        <v>29</v>
      </c>
      <c r="F18" s="4"/>
    </row>
    <row r="19" spans="1:6" x14ac:dyDescent="0.25">
      <c r="A19" s="32">
        <v>10</v>
      </c>
      <c r="B19" s="35" t="s">
        <v>122</v>
      </c>
      <c r="C19" s="34">
        <v>201600558</v>
      </c>
      <c r="D19" s="34"/>
      <c r="E19" s="34" t="s">
        <v>36</v>
      </c>
      <c r="F19" s="4"/>
    </row>
    <row r="20" spans="1:6" x14ac:dyDescent="0.25">
      <c r="A20" s="34">
        <v>11</v>
      </c>
      <c r="B20" s="35" t="s">
        <v>126</v>
      </c>
      <c r="C20" s="34">
        <v>201512226</v>
      </c>
      <c r="D20" s="34"/>
      <c r="E20" s="34" t="s">
        <v>29</v>
      </c>
      <c r="F20" s="4"/>
    </row>
    <row r="21" spans="1:6" x14ac:dyDescent="0.25">
      <c r="A21" s="34">
        <v>12</v>
      </c>
      <c r="B21" s="35" t="s">
        <v>128</v>
      </c>
      <c r="C21" s="34">
        <v>201507175</v>
      </c>
      <c r="D21" s="34"/>
      <c r="E21" s="34" t="s">
        <v>36</v>
      </c>
      <c r="F21" s="4"/>
    </row>
    <row r="22" spans="1:6" x14ac:dyDescent="0.25">
      <c r="A22" s="32">
        <v>13</v>
      </c>
      <c r="B22" s="35" t="s">
        <v>139</v>
      </c>
      <c r="C22" s="34">
        <v>201508112</v>
      </c>
      <c r="D22" s="34"/>
      <c r="E22" s="34" t="s">
        <v>29</v>
      </c>
      <c r="F22" s="4"/>
    </row>
    <row r="23" spans="1:6" x14ac:dyDescent="0.25">
      <c r="A23" s="34">
        <v>14</v>
      </c>
      <c r="B23" s="35" t="s">
        <v>5</v>
      </c>
      <c r="C23" s="34">
        <v>201502370</v>
      </c>
      <c r="D23" s="34"/>
      <c r="E23" s="34" t="s">
        <v>36</v>
      </c>
      <c r="F23" s="4"/>
    </row>
    <row r="24" spans="1:6" x14ac:dyDescent="0.25">
      <c r="A24" s="34">
        <v>15</v>
      </c>
      <c r="B24" s="35" t="s">
        <v>175</v>
      </c>
      <c r="C24" s="34">
        <v>201508469</v>
      </c>
      <c r="D24" s="34"/>
      <c r="E24" s="34" t="s">
        <v>36</v>
      </c>
      <c r="F24" s="4"/>
    </row>
    <row r="25" spans="1:6" x14ac:dyDescent="0.25">
      <c r="A25" s="32">
        <v>16</v>
      </c>
      <c r="B25" s="35" t="s">
        <v>176</v>
      </c>
      <c r="C25" s="34">
        <v>201512217</v>
      </c>
      <c r="D25" s="34"/>
      <c r="E25" s="34" t="s">
        <v>29</v>
      </c>
      <c r="F25" s="4"/>
    </row>
  </sheetData>
  <sortState ref="A10:E25">
    <sortCondition ref="B10"/>
  </sortState>
  <mergeCells count="3">
    <mergeCell ref="B2:F2"/>
    <mergeCell ref="C6:D6"/>
    <mergeCell ref="C4:E4"/>
  </mergeCells>
  <pageMargins left="0.7" right="0.7" top="0.75" bottom="0.75" header="0.3" footer="0.3"/>
  <pageSetup paperSize="9" scale="81" orientation="portrait" horizontalDpi="4294967292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4:J10"/>
  <sheetViews>
    <sheetView workbookViewId="0">
      <selection activeCell="Q7" sqref="Q7"/>
    </sheetView>
  </sheetViews>
  <sheetFormatPr baseColWidth="10" defaultColWidth="4.7109375" defaultRowHeight="15" x14ac:dyDescent="0.25"/>
  <cols>
    <col min="1" max="1" width="4.7109375" style="3"/>
    <col min="2" max="2" width="5" style="3" customWidth="1"/>
    <col min="3" max="4" width="4.7109375" style="3"/>
    <col min="5" max="5" width="4.140625" style="3" customWidth="1"/>
    <col min="6" max="9" width="4.7109375" style="3"/>
    <col min="10" max="10" width="9.42578125" style="3" bestFit="1" customWidth="1"/>
    <col min="11" max="16384" width="4.7109375" style="3"/>
  </cols>
  <sheetData>
    <row r="4" spans="2:10" ht="15.75" thickBot="1" x14ac:dyDescent="0.3"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</row>
    <row r="5" spans="2:10" ht="15.75" thickBot="1" x14ac:dyDescent="0.3">
      <c r="B5" s="3">
        <f>COUNT('Grp. 1'!A:A)</f>
        <v>19</v>
      </c>
      <c r="C5" s="3">
        <f>COUNT('Grp. 2'!A:A)</f>
        <v>17</v>
      </c>
      <c r="D5" s="3">
        <f>COUNT('Grp. 3'!A:A)</f>
        <v>16</v>
      </c>
      <c r="E5" s="3">
        <f>COUNT('Grp. 4'!A:A)</f>
        <v>23</v>
      </c>
      <c r="F5" s="3">
        <f>COUNT('Grp. 5'!A:A)</f>
        <v>15</v>
      </c>
      <c r="G5" s="3">
        <f>COUNT('Grp. 6'!A:A)</f>
        <v>16</v>
      </c>
      <c r="H5" s="3">
        <f>COUNT(#REF!)</f>
        <v>0</v>
      </c>
      <c r="J5" s="5">
        <f>MAX(B5:I5)</f>
        <v>23</v>
      </c>
    </row>
    <row r="6" spans="2:10" x14ac:dyDescent="0.25">
      <c r="B6" s="3">
        <f>GESTEP(B5,J5)</f>
        <v>0</v>
      </c>
      <c r="C6" s="3">
        <f>GESTEP(C5,J5)</f>
        <v>0</v>
      </c>
      <c r="D6" s="3">
        <f>GESTEP(D5,J5)</f>
        <v>0</v>
      </c>
      <c r="E6" s="3">
        <f>GESTEP(E5,J5)</f>
        <v>1</v>
      </c>
      <c r="F6" s="3">
        <f>GESTEP(F5,J5)</f>
        <v>0</v>
      </c>
      <c r="G6" s="3">
        <f>GESTEP(G5,J5)</f>
        <v>0</v>
      </c>
      <c r="H6" s="3">
        <f>GESTEP(H5,J5)</f>
        <v>0</v>
      </c>
    </row>
    <row r="7" spans="2:10" ht="15.75" thickBot="1" x14ac:dyDescent="0.3"/>
    <row r="8" spans="2:10" ht="15.75" thickBot="1" x14ac:dyDescent="0.3">
      <c r="B8" s="6" t="e">
        <f>+'SISTEMA INS.'!#REF!</f>
        <v>#REF!</v>
      </c>
      <c r="E8" s="5" t="e">
        <f>GESTEP(B10,J5)</f>
        <v>#REF!</v>
      </c>
    </row>
    <row r="9" spans="2:10" ht="15.75" thickBot="1" x14ac:dyDescent="0.3"/>
    <row r="10" spans="2:10" ht="15.75" thickBot="1" x14ac:dyDescent="0.3">
      <c r="B10" s="7" t="e">
        <f>HLOOKUP(B8,B4:H5,2,FALSE)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SISTEMA INS.</vt:lpstr>
      <vt:lpstr>LISTA ALUMNOS</vt:lpstr>
      <vt:lpstr>Grp. 1</vt:lpstr>
      <vt:lpstr>Grp. 2</vt:lpstr>
      <vt:lpstr>Grp. 3</vt:lpstr>
      <vt:lpstr>Grp. 4</vt:lpstr>
      <vt:lpstr>Grp. 5</vt:lpstr>
      <vt:lpstr>Grp. 6</vt:lpstr>
      <vt:lpstr>cal</vt:lpstr>
      <vt:lpstr>'Grp. 1'!Área_de_impresión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araoz</dc:creator>
  <cp:lastModifiedBy>alex</cp:lastModifiedBy>
  <cp:lastPrinted>2017-03-30T22:06:12Z</cp:lastPrinted>
  <dcterms:created xsi:type="dcterms:W3CDTF">2017-03-16T22:14:29Z</dcterms:created>
  <dcterms:modified xsi:type="dcterms:W3CDTF">2017-08-23T22:11:53Z</dcterms:modified>
</cp:coreProperties>
</file>